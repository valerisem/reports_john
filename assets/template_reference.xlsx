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Open Deals" sheetId="2" state="visible" r:id="rId4"/>
    <sheet name="Brands" sheetId="3" state="visible" r:id="rId5"/>
    <sheet name="Settings" sheetId="4" state="visible" r:id="rId6"/>
  </sheets>
  <definedNames>
    <definedName function="false" hidden="true" localSheetId="2" name="_xlnm._FilterDatabase" vbProcedure="false">Brands!$A$1:$K$105</definedName>
    <definedName function="false" hidden="true" localSheetId="1" name="_xlnm._FilterDatabase" vbProcedure="false">'Open Deals'!$A$1:$R$130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<sst xmlns="http://schemas.openxmlformats.org/spreadsheetml/2006/main" count="2334" uniqueCount="572">
  <si>
    <t xml:space="preserve">Sales Pipeline Report</t>
  </si>
  <si>
    <t xml:space="preserve">OPEN DEALS</t>
  </si>
  <si>
    <t xml:space="preserve">PIPELINE VALUE</t>
  </si>
  <si>
    <t xml:space="preserve">WEIGHTED VALUE</t>
  </si>
  <si>
    <t xml:space="preserve">NEW BUSINESS (£)</t>
  </si>
  <si>
    <t xml:space="preserve">Pipeline by stage</t>
  </si>
  <si>
    <t xml:space="preserve">Pipeline by Account Owner</t>
  </si>
  <si>
    <t xml:space="preserve">Stage</t>
  </si>
  <si>
    <t xml:space="preserve">Deals</t>
  </si>
  <si>
    <t xml:space="preserve">Probability %</t>
  </si>
  <si>
    <t xml:space="preserve">Value (£)</t>
  </si>
  <si>
    <t xml:space="preserve">Weighted (£)</t>
  </si>
  <si>
    <t xml:space="preserve">Account Owner</t>
  </si>
  <si>
    <t xml:space="preserve">Understand Need/Problem</t>
  </si>
  <si>
    <t xml:space="preserve">Valeriia Mukhai</t>
  </si>
  <si>
    <t xml:space="preserve">Create Proposal</t>
  </si>
  <si>
    <t xml:space="preserve">Ritchie Boubouli</t>
  </si>
  <si>
    <t xml:space="preserve">Present Proposal</t>
  </si>
  <si>
    <t xml:space="preserve">Carrick Klopper</t>
  </si>
  <si>
    <t xml:space="preserve">Feedback</t>
  </si>
  <si>
    <t xml:space="preserve">Total</t>
  </si>
  <si>
    <t xml:space="preserve">Negotiation</t>
  </si>
  <si>
    <t xml:space="preserve">IO Sent Out</t>
  </si>
  <si>
    <t xml:space="preserve">Pipeline by Account Manager</t>
  </si>
  <si>
    <t xml:space="preserve">Pipeline by industry</t>
  </si>
  <si>
    <t xml:space="preserve">Account Manager</t>
  </si>
  <si>
    <t xml:space="preserve">Industry</t>
  </si>
  <si>
    <t xml:space="preserve">Maggie Parrott</t>
  </si>
  <si>
    <t xml:space="preserve">CPG</t>
  </si>
  <si>
    <t xml:space="preserve">Emma-Leigh Pedder</t>
  </si>
  <si>
    <t xml:space="preserve">Tech</t>
  </si>
  <si>
    <t xml:space="preserve">Lucia Lopez Moreno</t>
  </si>
  <si>
    <t xml:space="preserve">Finance</t>
  </si>
  <si>
    <t xml:space="preserve">Levi Hoang</t>
  </si>
  <si>
    <t xml:space="preserve">Automotive</t>
  </si>
  <si>
    <t xml:space="preserve">Sarineh Garapetian</t>
  </si>
  <si>
    <t xml:space="preserve">Healthcare</t>
  </si>
  <si>
    <t xml:space="preserve">Blake Hoang</t>
  </si>
  <si>
    <t xml:space="preserve">Travel &amp; Telecom</t>
  </si>
  <si>
    <t xml:space="preserve">Food &amp; Beverage</t>
  </si>
  <si>
    <t xml:space="preserve">Entertainment</t>
  </si>
  <si>
    <t xml:space="preserve">Retail</t>
  </si>
  <si>
    <t xml:space="preserve">Health &amp; Wellness</t>
  </si>
  <si>
    <t xml:space="preserve">Hospitality</t>
  </si>
  <si>
    <t xml:space="preserve">Charts</t>
  </si>
  <si>
    <t xml:space="preserve">Brand</t>
  </si>
  <si>
    <t xml:space="preserve">Deal</t>
  </si>
  <si>
    <t xml:space="preserve">Client status</t>
  </si>
  <si>
    <t xml:space="preserve">Value</t>
  </si>
  <si>
    <t xml:space="preserve">Currency</t>
  </si>
  <si>
    <t xml:space="preserve">Probability</t>
  </si>
  <si>
    <t xml:space="preserve">Expected close</t>
  </si>
  <si>
    <t xml:space="preserve">Days in stage</t>
  </si>
  <si>
    <t xml:space="preserve">Deal added</t>
  </si>
  <si>
    <t xml:space="preserve">Main contact</t>
  </si>
  <si>
    <t xml:space="preserve">Sub-industry</t>
  </si>
  <si>
    <t xml:space="preserve">Website</t>
  </si>
  <si>
    <t xml:space="preserve">Runway</t>
  </si>
  <si>
    <t xml:space="preserve">Runway - SOW2 / EOY</t>
  </si>
  <si>
    <t xml:space="preserve">Existing client</t>
  </si>
  <si>
    <t xml:space="preserve">USD</t>
  </si>
  <si>
    <t xml:space="preserve">Julia Martins</t>
  </si>
  <si>
    <t xml:space="preserve">AI Video</t>
  </si>
  <si>
    <t xml:space="preserve">runwayml.com</t>
  </si>
  <si>
    <t xml:space="preserve">Oreate AI</t>
  </si>
  <si>
    <t xml:space="preserve">Oreate AI LATAM Q4 SOW 4 - SEP 26</t>
  </si>
  <si>
    <t xml:space="preserve">Raul Tang</t>
  </si>
  <si>
    <t xml:space="preserve">AI</t>
  </si>
  <si>
    <t xml:space="preserve">oreateai.com</t>
  </si>
  <si>
    <t xml:space="preserve">ILSO</t>
  </si>
  <si>
    <t xml:space="preserve">ILSO - Prime Day + Black Friday US / Oct-Nov 2026</t>
  </si>
  <si>
    <t xml:space="preserve">-</t>
  </si>
  <si>
    <t xml:space="preserve">Poya Chang</t>
  </si>
  <si>
    <t xml:space="preserve">Korean Beauty</t>
  </si>
  <si>
    <t xml:space="preserve">milip.kr</t>
  </si>
  <si>
    <t xml:space="preserve">Comfort Click</t>
  </si>
  <si>
    <t xml:space="preserve">Comfort Click Q4 SOW 2 - SEP 26</t>
  </si>
  <si>
    <t xml:space="preserve">GBP</t>
  </si>
  <si>
    <t xml:space="preserve">Prateek Tyagi</t>
  </si>
  <si>
    <t xml:space="preserve">Smart Home</t>
  </si>
  <si>
    <t xml:space="preserve">comfortclick.co.uk</t>
  </si>
  <si>
    <t xml:space="preserve">Oreate AI - LATAM - SOW 2 - AUG 26</t>
  </si>
  <si>
    <t xml:space="preserve">SEB</t>
  </si>
  <si>
    <t xml:space="preserve">SEB x WMF Coffee Machine x Nov 2026</t>
  </si>
  <si>
    <t xml:space="preserve">EUR</t>
  </si>
  <si>
    <t xml:space="preserve">Paulina Gardunorubi</t>
  </si>
  <si>
    <t xml:space="preserve">Home Appliances</t>
  </si>
  <si>
    <t xml:space="preserve">groupeseb.com</t>
  </si>
  <si>
    <t xml:space="preserve">Medihealcos</t>
  </si>
  <si>
    <t xml:space="preserve">Mediheal UK / Black Friday 16th Nov</t>
  </si>
  <si>
    <t xml:space="preserve">hwjang</t>
  </si>
  <si>
    <t xml:space="preserve">mediheal.com</t>
  </si>
  <si>
    <t xml:space="preserve">Myungin Cosmetics (Farmstay / Anotherface / Laferme)</t>
  </si>
  <si>
    <t xml:space="preserve">Myungin - Scope B / Amazon + Instagram creators (Farmstay, Anotherface, Laferme) Sept–Dec 2026</t>
  </si>
  <si>
    <t xml:space="preserve">New business</t>
  </si>
  <si>
    <t xml:space="preserve">Seonlim Lee</t>
  </si>
  <si>
    <t xml:space="preserve">AvaTrade</t>
  </si>
  <si>
    <t xml:space="preserve">AvaTrade x Conversion Influencer Campaign Test x Sept 2026</t>
  </si>
  <si>
    <t xml:space="preserve">Nicolas Embon</t>
  </si>
  <si>
    <t xml:space="preserve">Online Trading</t>
  </si>
  <si>
    <t xml:space="preserve">avatrade.com</t>
  </si>
  <si>
    <t xml:space="preserve">Amorepacific</t>
  </si>
  <si>
    <t xml:space="preserve">Illiyoon BY27 (12months)- AmorePacific</t>
  </si>
  <si>
    <t xml:space="preserve">yeongeun</t>
  </si>
  <si>
    <t xml:space="preserve">amorepacific.com</t>
  </si>
  <si>
    <t xml:space="preserve">sparkli</t>
  </si>
  <si>
    <t xml:space="preserve">Sparkli Paid Ads Campaign</t>
  </si>
  <si>
    <t xml:space="preserve">@sparkli.ai</t>
  </si>
  <si>
    <t xml:space="preserve">Kids EdTech App</t>
  </si>
  <si>
    <t xml:space="preserve">sparkli.ai</t>
  </si>
  <si>
    <t xml:space="preserve">TFIT</t>
  </si>
  <si>
    <t xml:space="preserve">TFIT - USA Nano activation 3 months</t>
  </si>
  <si>
    <t xml:space="preserve">Elly</t>
  </si>
  <si>
    <t xml:space="preserve">tfit.co.kr</t>
  </si>
  <si>
    <t xml:space="preserve">Zonevoice</t>
  </si>
  <si>
    <t xml:space="preserve">Twigo Launch SOW 1 - SEP 26</t>
  </si>
  <si>
    <t xml:space="preserve">Marc Tanas</t>
  </si>
  <si>
    <t xml:space="preserve">eSIM App</t>
  </si>
  <si>
    <t xml:space="preserve">zonevoice.com</t>
  </si>
  <si>
    <t xml:space="preserve">Sparkli Influencer Marketing &amp; UGC Content Campaign x Sept 2026</t>
  </si>
  <si>
    <t xml:space="preserve">Sam'U</t>
  </si>
  <si>
    <t xml:space="preserve">Sam'U Black Friday Campaign</t>
  </si>
  <si>
    <t xml:space="preserve">jjk</t>
  </si>
  <si>
    <t xml:space="preserve">samchic.co.kr</t>
  </si>
  <si>
    <t xml:space="preserve">Beauty of Joseon</t>
  </si>
  <si>
    <t xml:space="preserve">Beauty of Joseon - Germany / November</t>
  </si>
  <si>
    <t xml:space="preserve">ezly</t>
  </si>
  <si>
    <t xml:space="preserve">beautyofjoseon.com</t>
  </si>
  <si>
    <t xml:space="preserve">Comfort Click UK Celebrity SOW 3 - SEP 26</t>
  </si>
  <si>
    <t xml:space="preserve">TeamSport</t>
  </si>
  <si>
    <t xml:space="preserve">TeamSport SOW 1 - SEP 26</t>
  </si>
  <si>
    <t xml:space="preserve">Angela Porter</t>
  </si>
  <si>
    <t xml:space="preserve">Indoor Go-Karting</t>
  </si>
  <si>
    <t xml:space="preserve">team-sport.com</t>
  </si>
  <si>
    <t xml:space="preserve">FINOM</t>
  </si>
  <si>
    <t xml:space="preserve">FINOM - IO11 / Oct-Dec 2026</t>
  </si>
  <si>
    <t xml:space="preserve">Aglaya Dvornikova</t>
  </si>
  <si>
    <t xml:space="preserve">Fintech</t>
  </si>
  <si>
    <t xml:space="preserve">finom.co</t>
  </si>
  <si>
    <t xml:space="preserve">Dumbbell's Incorporated</t>
  </si>
  <si>
    <t xml:space="preserve">Dumbbell's Incorporated SOW1 - SEP 26</t>
  </si>
  <si>
    <t xml:space="preserve">Bob Barreca</t>
  </si>
  <si>
    <t xml:space="preserve">I-World</t>
  </si>
  <si>
    <t xml:space="preserve">I-World - Brand 1 - 6 months USA</t>
  </si>
  <si>
    <t xml:space="preserve">Daniel Yi</t>
  </si>
  <si>
    <t xml:space="preserve">iworldus.com</t>
  </si>
  <si>
    <t xml:space="preserve">Oreate AI - US Q4 - SOW 3 - SEP 26</t>
  </si>
  <si>
    <t xml:space="preserve">Vitrin Clinic</t>
  </si>
  <si>
    <t xml:space="preserve">Vitrin Clinic - SOW 1 - SEP 26</t>
  </si>
  <si>
    <t xml:space="preserve">Serdar Avşar</t>
  </si>
  <si>
    <t xml:space="preserve">Aesthetic Clinic</t>
  </si>
  <si>
    <t xml:space="preserve">vitrinclinic.com</t>
  </si>
  <si>
    <t xml:space="preserve">Vitrin Clinic - SOW 2 - OCT 26</t>
  </si>
  <si>
    <t xml:space="preserve">Firerock Capital</t>
  </si>
  <si>
    <t xml:space="preserve">Cinder &amp; Crowns SOW 1 - SEP 26</t>
  </si>
  <si>
    <t xml:space="preserve">June Kwa</t>
  </si>
  <si>
    <t xml:space="preserve">Mobile Game</t>
  </si>
  <si>
    <t xml:space="preserve">firerock.sg</t>
  </si>
  <si>
    <t xml:space="preserve">Paddywax</t>
  </si>
  <si>
    <t xml:space="preserve">Paddywax x TikTok Shop SOW1</t>
  </si>
  <si>
    <t xml:space="preserve">Alexi Mintz</t>
  </si>
  <si>
    <t xml:space="preserve">Home Fragrance</t>
  </si>
  <si>
    <t xml:space="preserve">paddywax.com</t>
  </si>
  <si>
    <t xml:space="preserve">Astrotalk</t>
  </si>
  <si>
    <t xml:space="preserve">Astrotalk YT &amp; IG SOW 3 - SEP 26</t>
  </si>
  <si>
    <t xml:space="preserve">Ishita Saxena</t>
  </si>
  <si>
    <t xml:space="preserve">Astrology App</t>
  </si>
  <si>
    <t xml:space="preserve">astrotalk.com</t>
  </si>
  <si>
    <t xml:space="preserve">BiteLab</t>
  </si>
  <si>
    <t xml:space="preserve">BiteLab - LILYEVE - Affiliate</t>
  </si>
  <si>
    <t xml:space="preserve">gaby.ham</t>
  </si>
  <si>
    <t xml:space="preserve">bitelab.co.kr</t>
  </si>
  <si>
    <t xml:space="preserve">Myntro</t>
  </si>
  <si>
    <t xml:space="preserve">Myntro SOW 1 - SEP 26</t>
  </si>
  <si>
    <t xml:space="preserve">Moa Tyborn</t>
  </si>
  <si>
    <t xml:space="preserve">Debt Management</t>
  </si>
  <si>
    <t xml:space="preserve">myntro.com</t>
  </si>
  <si>
    <t xml:space="preserve">BNC Korea</t>
  </si>
  <si>
    <t xml:space="preserve">BNC Korea Top Tier - SOW 2 - AUG 26</t>
  </si>
  <si>
    <t xml:space="preserve">hihong</t>
  </si>
  <si>
    <t xml:space="preserve">Biopharma / Aesthetics</t>
  </si>
  <si>
    <t xml:space="preserve">bnckorea.co.kr</t>
  </si>
  <si>
    <t xml:space="preserve">Astrotalk UGC SOW 4 - SEP 26</t>
  </si>
  <si>
    <t xml:space="preserve">TFIT / Czech Black Friday / Rossmann</t>
  </si>
  <si>
    <t xml:space="preserve">Germany Tinted Sunscreen SPF</t>
  </si>
  <si>
    <t xml:space="preserve">Scrub Daddy</t>
  </si>
  <si>
    <t xml:space="preserve">Scrub Daddy Influencer Campaign x Germany &amp; Spain</t>
  </si>
  <si>
    <t xml:space="preserve">Sylvia Jacob</t>
  </si>
  <si>
    <t xml:space="preserve">Household Cleaning</t>
  </si>
  <si>
    <t xml:space="preserve">scrubdaddy.eu</t>
  </si>
  <si>
    <t xml:space="preserve">Webull Securities</t>
  </si>
  <si>
    <t xml:space="preserve">Webull Securities x Influencer Campaign Part 2</t>
  </si>
  <si>
    <t xml:space="preserve">Nick Saunders</t>
  </si>
  <si>
    <t xml:space="preserve">webull-uk.com</t>
  </si>
  <si>
    <t xml:space="preserve">Beauty of Joseon - Another one - September</t>
  </si>
  <si>
    <t xml:space="preserve">haram</t>
  </si>
  <si>
    <t xml:space="preserve">Art Gallery of Ontario</t>
  </si>
  <si>
    <t xml:space="preserve">Art Gallery of Ontario SOW 1 - MAR 27</t>
  </si>
  <si>
    <t xml:space="preserve">Ros Lawler</t>
  </si>
  <si>
    <t xml:space="preserve">Art Gallery</t>
  </si>
  <si>
    <t xml:space="preserve">ago.ca</t>
  </si>
  <si>
    <t xml:space="preserve">Darts Corner</t>
  </si>
  <si>
    <t xml:space="preserve">Mission Darts - FY 27 - SOW 1 - NOV 26</t>
  </si>
  <si>
    <t xml:space="preserve">Craig Heenighan</t>
  </si>
  <si>
    <t xml:space="preserve">Darts Equipment</t>
  </si>
  <si>
    <t xml:space="preserve">dartscorner.co.uk</t>
  </si>
  <si>
    <t xml:space="preserve">EFG International</t>
  </si>
  <si>
    <t xml:space="preserve">EFG International SOW 1 - SEP 26</t>
  </si>
  <si>
    <t xml:space="preserve">Neil Thornburn</t>
  </si>
  <si>
    <t xml:space="preserve">Private Banking</t>
  </si>
  <si>
    <t xml:space="preserve">efginternational.com</t>
  </si>
  <si>
    <t xml:space="preserve">Kedrion Biopharma</t>
  </si>
  <si>
    <t xml:space="preserve">Kedrion SOW 1 FY 27 - OCT 26</t>
  </si>
  <si>
    <t xml:space="preserve">Duccio Manetti</t>
  </si>
  <si>
    <t xml:space="preserve">Biopharma</t>
  </si>
  <si>
    <t xml:space="preserve">kedrion.com</t>
  </si>
  <si>
    <t xml:space="preserve">Beauty of Joseon - UK Campaign / October</t>
  </si>
  <si>
    <t xml:space="preserve">Beauty of Joseon - UK Campaign / November</t>
  </si>
  <si>
    <t xml:space="preserve">Ramsey's Solutions</t>
  </si>
  <si>
    <t xml:space="preserve">Ramsey's Solutions SOW 1 - APR 26</t>
  </si>
  <si>
    <t xml:space="preserve">Kimbrelly Kegler</t>
  </si>
  <si>
    <t xml:space="preserve">Personal Finance Education</t>
  </si>
  <si>
    <t xml:space="preserve">ramseysolutions.com</t>
  </si>
  <si>
    <t xml:space="preserve">Ollies Bargain Outlets</t>
  </si>
  <si>
    <t xml:space="preserve">josipa Topic</t>
  </si>
  <si>
    <t xml:space="preserve">Discount Retail</t>
  </si>
  <si>
    <t xml:space="preserve">ollies.us</t>
  </si>
  <si>
    <t xml:space="preserve">Verizon</t>
  </si>
  <si>
    <t xml:space="preserve">Verizon - Gizmo Watch - SOW1 - SEP 26</t>
  </si>
  <si>
    <t xml:space="preserve">Brian Suchak</t>
  </si>
  <si>
    <t xml:space="preserve">Telecom</t>
  </si>
  <si>
    <t xml:space="preserve">verizon.com</t>
  </si>
  <si>
    <t xml:space="preserve">GLŌLABZ</t>
  </si>
  <si>
    <t xml:space="preserve">GLŌLABZ x TikTok Marketing Campaign</t>
  </si>
  <si>
    <t xml:space="preserve">Sonny Freeman</t>
  </si>
  <si>
    <t xml:space="preserve">Beauty</t>
  </si>
  <si>
    <t xml:space="preserve">glolabz.com</t>
  </si>
  <si>
    <t xml:space="preserve">merakitech</t>
  </si>
  <si>
    <t xml:space="preserve">Meraki [Influencer + KOL] - Monthly</t>
  </si>
  <si>
    <t xml:space="preserve">Tracy Cai</t>
  </si>
  <si>
    <t xml:space="preserve">SaaS</t>
  </si>
  <si>
    <t xml:space="preserve">merakitech.com</t>
  </si>
  <si>
    <t xml:space="preserve">Galderma</t>
  </si>
  <si>
    <t xml:space="preserve">Cetaphil Romania</t>
  </si>
  <si>
    <t xml:space="preserve">monika lamparska kania</t>
  </si>
  <si>
    <t xml:space="preserve">Dermatology / Pharma</t>
  </si>
  <si>
    <t xml:space="preserve">galderma.com</t>
  </si>
  <si>
    <t xml:space="preserve">Monogram AI, Inc.</t>
  </si>
  <si>
    <t xml:space="preserve">Monogram AI SOW 1 - AUG 26</t>
  </si>
  <si>
    <t xml:space="preserve">EREN BALI</t>
  </si>
  <si>
    <t xml:space="preserve">AI Consumer App</t>
  </si>
  <si>
    <t xml:space="preserve">monogram.ai</t>
  </si>
  <si>
    <t xml:space="preserve">Neals Yard Remedies</t>
  </si>
  <si>
    <t xml:space="preserve">Neals Yard Remedies x TikTok Campaign</t>
  </si>
  <si>
    <t xml:space="preserve">Goh</t>
  </si>
  <si>
    <t xml:space="preserve">nealsyardremedies.com</t>
  </si>
  <si>
    <t xml:space="preserve">Viora</t>
  </si>
  <si>
    <t xml:space="preserve">Viora x Influencer Marketing, UGC, Paid Ads Campaign</t>
  </si>
  <si>
    <t xml:space="preserve">Michael McDade</t>
  </si>
  <si>
    <t xml:space="preserve">FemTech Diagnostics</t>
  </si>
  <si>
    <t xml:space="preserve">vioratest.com</t>
  </si>
  <si>
    <t xml:space="preserve">Amplify Ventures Ltd.</t>
  </si>
  <si>
    <t xml:space="preserve">Amplify Ventures eSIM SOW 1 - SEP 26</t>
  </si>
  <si>
    <t xml:space="preserve">Ishita Chaudhary</t>
  </si>
  <si>
    <t xml:space="preserve">studiomosaicapps.com</t>
  </si>
  <si>
    <t xml:space="preserve">THE RIVIERA</t>
  </si>
  <si>
    <t xml:space="preserve">RIVIERA - SOW1</t>
  </si>
  <si>
    <t xml:space="preserve">Heejae Choi</t>
  </si>
  <si>
    <t xml:space="preserve">Fragrance Mists</t>
  </si>
  <si>
    <t xml:space="preserve">riviera-dazur.com</t>
  </si>
  <si>
    <t xml:space="preserve">Mars Royal Canin</t>
  </si>
  <si>
    <t xml:space="preserve">Royal Canin Argentina</t>
  </si>
  <si>
    <t xml:space="preserve">riccarda Schmidt</t>
  </si>
  <si>
    <t xml:space="preserve">Pet Food</t>
  </si>
  <si>
    <t xml:space="preserve">royalcanin.com</t>
  </si>
  <si>
    <t xml:space="preserve">Aldermore</t>
  </si>
  <si>
    <t xml:space="preserve">Aldermore SOW 1 - OCT 26</t>
  </si>
  <si>
    <t xml:space="preserve">David Reynell</t>
  </si>
  <si>
    <t xml:space="preserve">Bank</t>
  </si>
  <si>
    <t xml:space="preserve">aldermore.co.uk</t>
  </si>
  <si>
    <t xml:space="preserve">Pacsen</t>
  </si>
  <si>
    <t xml:space="preserve">Pacsen - DrSavers</t>
  </si>
  <si>
    <t xml:space="preserve">jason.suk</t>
  </si>
  <si>
    <t xml:space="preserve">Sporting Goods OEM</t>
  </si>
  <si>
    <t xml:space="preserve">pacsen.net</t>
  </si>
  <si>
    <t xml:space="preserve">CornBreadHemp</t>
  </si>
  <si>
    <t xml:space="preserve">CornBreadHemp / Pilot</t>
  </si>
  <si>
    <t xml:space="preserve">kelli</t>
  </si>
  <si>
    <t xml:space="preserve">CBD</t>
  </si>
  <si>
    <t xml:space="preserve">cornbreadhemp.com</t>
  </si>
  <si>
    <t xml:space="preserve">Wednesday Waffles</t>
  </si>
  <si>
    <t xml:space="preserve">Wednesday Waffles SOW 1 - SEP 26</t>
  </si>
  <si>
    <t xml:space="preserve">Zameer Masjedee</t>
  </si>
  <si>
    <t xml:space="preserve">Social Video App</t>
  </si>
  <si>
    <t xml:space="preserve">wednesdaywaffles.com</t>
  </si>
  <si>
    <t xml:space="preserve">Birmingham City FC</t>
  </si>
  <si>
    <t xml:space="preserve">Birmingham City FC SOW 1 - AUG 26</t>
  </si>
  <si>
    <t xml:space="preserve">Will Radford</t>
  </si>
  <si>
    <t xml:space="preserve">Football Club</t>
  </si>
  <si>
    <t xml:space="preserve">bcfc.com</t>
  </si>
  <si>
    <t xml:space="preserve">FINOM Event Budget OCT</t>
  </si>
  <si>
    <t xml:space="preserve">Cosrx.co</t>
  </si>
  <si>
    <t xml:space="preserve">Affiliate Proposal COSRX US/EU</t>
  </si>
  <si>
    <t xml:space="preserve">정다운</t>
  </si>
  <si>
    <t xml:space="preserve">cosrx.com</t>
  </si>
  <si>
    <t xml:space="preserve">Isehan.co</t>
  </si>
  <si>
    <t xml:space="preserve">Isehan - UK activation</t>
  </si>
  <si>
    <t xml:space="preserve">Matsumoto_m</t>
  </si>
  <si>
    <t xml:space="preserve">Japanese Beauty</t>
  </si>
  <si>
    <t xml:space="preserve">isehan.co.jp</t>
  </si>
  <si>
    <t xml:space="preserve">Royal Canin Influencer Campaign</t>
  </si>
  <si>
    <t xml:space="preserve">Amorepacific - AESTURA</t>
  </si>
  <si>
    <t xml:space="preserve">Judy - Jukyung Lee</t>
  </si>
  <si>
    <t xml:space="preserve">stellaris Robotics</t>
  </si>
  <si>
    <t xml:space="preserve">Joe</t>
  </si>
  <si>
    <t xml:space="preserve">Consumer Robotics</t>
  </si>
  <si>
    <t xml:space="preserve">stellarisrobot.com</t>
  </si>
  <si>
    <t xml:space="preserve">Byoma</t>
  </si>
  <si>
    <t xml:space="preserve">Byoma x UGC Gifted Campaign</t>
  </si>
  <si>
    <t xml:space="preserve">Tara Loftis</t>
  </si>
  <si>
    <t xml:space="preserve">Skincare</t>
  </si>
  <si>
    <t xml:space="preserve">byoma.com</t>
  </si>
  <si>
    <t xml:space="preserve">Quadthera</t>
  </si>
  <si>
    <t xml:space="preserve">Quadthera H2 - SOW 2 - AUG 26</t>
  </si>
  <si>
    <t xml:space="preserve">Andrew Park</t>
  </si>
  <si>
    <t xml:space="preserve">Biotech</t>
  </si>
  <si>
    <t xml:space="preserve">Beauty of Joseon - US Campaign</t>
  </si>
  <si>
    <t xml:space="preserve">Skylum</t>
  </si>
  <si>
    <t xml:space="preserve">Skylum - SOW2 / Creator programme 3-month test (Luminar)</t>
  </si>
  <si>
    <t xml:space="preserve">Kateryna Medushyvska</t>
  </si>
  <si>
    <t xml:space="preserve">Creative SaaS</t>
  </si>
  <si>
    <t xml:space="preserve">skylum.com</t>
  </si>
  <si>
    <t xml:space="preserve">Opera Browser</t>
  </si>
  <si>
    <t xml:space="preserve">Opera - SOW38 / Always On Sept-Oct</t>
  </si>
  <si>
    <t xml:space="preserve">Shallana Santos</t>
  </si>
  <si>
    <t xml:space="preserve">opera.com</t>
  </si>
  <si>
    <t xml:space="preserve">mary browns</t>
  </si>
  <si>
    <t xml:space="preserve">Mary Browns - Influencer Campaign [Launch]</t>
  </si>
  <si>
    <t xml:space="preserve">michelle payot</t>
  </si>
  <si>
    <t xml:space="preserve">QSR / Fast Food</t>
  </si>
  <si>
    <t xml:space="preserve">mbchicken.co.uk</t>
  </si>
  <si>
    <t xml:space="preserve">I-ne Co., Ltd.</t>
  </si>
  <si>
    <t xml:space="preserve">YOLU - I-ne SOW1</t>
  </si>
  <si>
    <t xml:space="preserve">Lilia Yamakawa</t>
  </si>
  <si>
    <t xml:space="preserve">Japanese Beauty / Haircare</t>
  </si>
  <si>
    <t xml:space="preserve">i-ne.co.jp</t>
  </si>
  <si>
    <t xml:space="preserve">Vancouver Whitecaps FC</t>
  </si>
  <si>
    <t xml:space="preserve">Vancouver Whitecaps FC SOW 1 - OCT 26</t>
  </si>
  <si>
    <t xml:space="preserve">Adam Ferreira</t>
  </si>
  <si>
    <t xml:space="preserve">whitecapsfc.com</t>
  </si>
  <si>
    <t xml:space="preserve">Expedia</t>
  </si>
  <si>
    <t xml:space="preserve">Expedia - RFP Participation</t>
  </si>
  <si>
    <t xml:space="preserve">Stephanie Palos</t>
  </si>
  <si>
    <t xml:space="preserve">OTA / Travel Platform</t>
  </si>
  <si>
    <t xml:space="preserve">expediagroup.com</t>
  </si>
  <si>
    <t xml:space="preserve">Kia</t>
  </si>
  <si>
    <t xml:space="preserve">KIA HQ - Creator Crew 2027 / Global (15 markets)</t>
  </si>
  <si>
    <t xml:space="preserve">Ahreum Jang</t>
  </si>
  <si>
    <t xml:space="preserve">Car Manufacturer</t>
  </si>
  <si>
    <t xml:space="preserve">kia.com</t>
  </si>
  <si>
    <t xml:space="preserve">Konu Food Corp</t>
  </si>
  <si>
    <t xml:space="preserve">Konu Snacks x TikTok Campaign x Sept 2026</t>
  </si>
  <si>
    <t xml:space="preserve">Patrick Paraguya</t>
  </si>
  <si>
    <t xml:space="preserve">Snacks</t>
  </si>
  <si>
    <t xml:space="preserve">konufoods.com</t>
  </si>
  <si>
    <t xml:space="preserve">Macaly</t>
  </si>
  <si>
    <t xml:space="preserve">Macaly - UGC + Influencer Europe Test (UK/DE/FR/ES/IT) / Q4 2026</t>
  </si>
  <si>
    <t xml:space="preserve">Juraj Mihalik</t>
  </si>
  <si>
    <t xml:space="preserve">AI Website Builder</t>
  </si>
  <si>
    <t xml:space="preserve">macaly.com</t>
  </si>
  <si>
    <t xml:space="preserve">Damm1876</t>
  </si>
  <si>
    <t xml:space="preserve">Damm1876 - SOW 1 - OCT 26</t>
  </si>
  <si>
    <t xml:space="preserve">Alex Burrows</t>
  </si>
  <si>
    <t xml:space="preserve">Beer</t>
  </si>
  <si>
    <t xml:space="preserve">damm.com</t>
  </si>
  <si>
    <t xml:space="preserve">Ashley Madison</t>
  </si>
  <si>
    <t xml:space="preserve">rebekah.kordich</t>
  </si>
  <si>
    <t xml:space="preserve">Dating App</t>
  </si>
  <si>
    <t xml:space="preserve">ashleymadison.com</t>
  </si>
  <si>
    <t xml:space="preserve">Curias</t>
  </si>
  <si>
    <t xml:space="preserve">Curias SOW 1 - SEP 26</t>
  </si>
  <si>
    <t xml:space="preserve">Woojin Lim</t>
  </si>
  <si>
    <t xml:space="preserve">curias.io</t>
  </si>
  <si>
    <t xml:space="preserve">NN Spain</t>
  </si>
  <si>
    <t xml:space="preserve">carolina.corti</t>
  </si>
  <si>
    <t xml:space="preserve">Insurance</t>
  </si>
  <si>
    <t xml:space="preserve">nnespana.es</t>
  </si>
  <si>
    <t xml:space="preserve">Kenvue</t>
  </si>
  <si>
    <t xml:space="preserve">Mark Cibort</t>
  </si>
  <si>
    <t xml:space="preserve">Consumer Health</t>
  </si>
  <si>
    <t xml:space="preserve">kenvue.com</t>
  </si>
  <si>
    <t xml:space="preserve">Go Pro</t>
  </si>
  <si>
    <t xml:space="preserve">Go Pro x TikTok Marketing Campaign</t>
  </si>
  <si>
    <t xml:space="preserve">Rick Loughery</t>
  </si>
  <si>
    <t xml:space="preserve">Consumer Electronics</t>
  </si>
  <si>
    <t xml:space="preserve">gopro.com</t>
  </si>
  <si>
    <t xml:space="preserve">Norweigan Log</t>
  </si>
  <si>
    <t xml:space="preserve">ed taylor</t>
  </si>
  <si>
    <t xml:space="preserve">Log Cabins &amp; Garden Rooms</t>
  </si>
  <si>
    <t xml:space="preserve">norwegianlog.co.uk</t>
  </si>
  <si>
    <t xml:space="preserve">RedWeek</t>
  </si>
  <si>
    <t xml:space="preserve">RedWeek - TLB</t>
  </si>
  <si>
    <t xml:space="preserve">Drew Minert</t>
  </si>
  <si>
    <t xml:space="preserve">Timeshare Rentals</t>
  </si>
  <si>
    <t xml:space="preserve">redweek.com</t>
  </si>
  <si>
    <t xml:space="preserve">Trip</t>
  </si>
  <si>
    <t xml:space="preserve">Trip SOW 1 - NOV 26</t>
  </si>
  <si>
    <t xml:space="preserve">Selima Faye</t>
  </si>
  <si>
    <t xml:space="preserve">trip.com</t>
  </si>
  <si>
    <t xml:space="preserve">KOTRA Atlanta</t>
  </si>
  <si>
    <t xml:space="preserve">KOTRA Atlanta - Brand #3 / September</t>
  </si>
  <si>
    <t xml:space="preserve">Korean Beauty (KOTRA programme)</t>
  </si>
  <si>
    <t xml:space="preserve">kotra.or.kr</t>
  </si>
  <si>
    <t xml:space="preserve">GSMA</t>
  </si>
  <si>
    <t xml:space="preserve">GSMA SOW 1 - OCT 26</t>
  </si>
  <si>
    <t xml:space="preserve">Justin Paul</t>
  </si>
  <si>
    <t xml:space="preserve">Mobile Industry Association</t>
  </si>
  <si>
    <t xml:space="preserve">gsma.com</t>
  </si>
  <si>
    <t xml:space="preserve">Ashley Madison [UGC Deal]</t>
  </si>
  <si>
    <t xml:space="preserve">Bimbo Bakeries USA (Grupo Bimbo)</t>
  </si>
  <si>
    <t xml:space="preserve">Bimbo Bakeries USA - Orowheat / Pilot Introduction</t>
  </si>
  <si>
    <t xml:space="preserve">Dante Treglio</t>
  </si>
  <si>
    <t xml:space="preserve">Bakery</t>
  </si>
  <si>
    <t xml:space="preserve">grupobimbo.com</t>
  </si>
  <si>
    <t xml:space="preserve">Atlas Capture</t>
  </si>
  <si>
    <t xml:space="preserve">Atlas Capture - POV Creator Pilot / 6 markets / 1 month</t>
  </si>
  <si>
    <t xml:space="preserve">Elijah Jupiter</t>
  </si>
  <si>
    <t xml:space="preserve">AI Training Data</t>
  </si>
  <si>
    <t xml:space="preserve">atlascapture.io</t>
  </si>
  <si>
    <t xml:space="preserve">HEYTEA</t>
  </si>
  <si>
    <t xml:space="preserve">HEYTEA - Australia</t>
  </si>
  <si>
    <t xml:space="preserve">Delia Chen</t>
  </si>
  <si>
    <t xml:space="preserve">Tea Chain</t>
  </si>
  <si>
    <t xml:space="preserve">heytea.com</t>
  </si>
  <si>
    <t xml:space="preserve">vinted</t>
  </si>
  <si>
    <t xml:space="preserve">Vinted x UGC Content Creation for Paid Ads</t>
  </si>
  <si>
    <t xml:space="preserve">keesha.khraud@vinted.com</t>
  </si>
  <si>
    <t xml:space="preserve">Online Marketplace</t>
  </si>
  <si>
    <t xml:space="preserve">vinted.com</t>
  </si>
  <si>
    <t xml:space="preserve">NVA</t>
  </si>
  <si>
    <t xml:space="preserve">NVA - TLB</t>
  </si>
  <si>
    <t xml:space="preserve">Julia Healey</t>
  </si>
  <si>
    <t xml:space="preserve">Veterinary Care</t>
  </si>
  <si>
    <t xml:space="preserve">nva.com</t>
  </si>
  <si>
    <t xml:space="preserve">Hapimag AG</t>
  </si>
  <si>
    <t xml:space="preserve">Hapimag - New Channel Test (YouTube / Spotify / Podcast) / 2027 budget</t>
  </si>
  <si>
    <t xml:space="preserve">Irina Gorskaia</t>
  </si>
  <si>
    <t xml:space="preserve">Holiday Resorts</t>
  </si>
  <si>
    <t xml:space="preserve">hapimag.com</t>
  </si>
  <si>
    <t xml:space="preserve">Runway - SOW3 / 6-month renewal (2027 projection)</t>
  </si>
  <si>
    <t xml:space="preserve">Olymptrade</t>
  </si>
  <si>
    <t xml:space="preserve">Q4 x Olymptrade x Infliuencer Marketing Campaign</t>
  </si>
  <si>
    <t xml:space="preserve">Olya</t>
  </si>
  <si>
    <t xml:space="preserve">olymptrade.com</t>
  </si>
  <si>
    <t xml:space="preserve">Beauty of Joseon - Holiday Campaign / December</t>
  </si>
  <si>
    <t xml:space="preserve">NN Insurance</t>
  </si>
  <si>
    <t xml:space="preserve">NN Insurance Global x AI Dubbing Part 2</t>
  </si>
  <si>
    <t xml:space="preserve">Marta Mykoliv</t>
  </si>
  <si>
    <t xml:space="preserve">nn-group.com</t>
  </si>
  <si>
    <t xml:space="preserve">David Lloyd Leisure</t>
  </si>
  <si>
    <t xml:space="preserve">David Lloyd - Influencer Campaign - Lifestyle Moments</t>
  </si>
  <si>
    <t xml:space="preserve">james.burton-lee</t>
  </si>
  <si>
    <t xml:space="preserve">Gyms &amp; Leisure Clubs</t>
  </si>
  <si>
    <t xml:space="preserve">davidlloyd.co.uk</t>
  </si>
  <si>
    <t xml:space="preserve">Chill Sim</t>
  </si>
  <si>
    <t xml:space="preserve">Chill Sim Launch SOW 1 - SEP 26</t>
  </si>
  <si>
    <t xml:space="preserve">Alexandru</t>
  </si>
  <si>
    <t xml:space="preserve">chillsim.net</t>
  </si>
  <si>
    <t xml:space="preserve">Dr Jart</t>
  </si>
  <si>
    <t xml:space="preserve">Dr Jart x Influencer Campaign</t>
  </si>
  <si>
    <t xml:space="preserve">jispark</t>
  </si>
  <si>
    <t xml:space="preserve">drjart.com</t>
  </si>
  <si>
    <t xml:space="preserve">Medtrition, Inc.</t>
  </si>
  <si>
    <t xml:space="preserve">Medtrition x SOW1</t>
  </si>
  <si>
    <t xml:space="preserve">Megan Koons</t>
  </si>
  <si>
    <t xml:space="preserve">Medical Nutrition</t>
  </si>
  <si>
    <t xml:space="preserve">medtrition.com</t>
  </si>
  <si>
    <t xml:space="preserve">FINOM - IO12 / Jan - Mar 2027</t>
  </si>
  <si>
    <t xml:space="preserve">Kioland</t>
  </si>
  <si>
    <t xml:space="preserve">Kioland Q4 - SOW 2 - SEP 26</t>
  </si>
  <si>
    <t xml:space="preserve">Grace Lee</t>
  </si>
  <si>
    <t xml:space="preserve">E-commerce</t>
  </si>
  <si>
    <t xml:space="preserve">kioland.co.kr</t>
  </si>
  <si>
    <t xml:space="preserve">BiteLab - LILYEVE Phase 2 / November</t>
  </si>
  <si>
    <t xml:space="preserve">The Picton</t>
  </si>
  <si>
    <t xml:space="preserve">TOCOBO - US Holiday / November</t>
  </si>
  <si>
    <t xml:space="preserve">jiyeon</t>
  </si>
  <si>
    <t xml:space="preserve">Hotel</t>
  </si>
  <si>
    <t xml:space="preserve">thepicton.com</t>
  </si>
  <si>
    <t xml:space="preserve">Opera - SOW39 / Always On Nov-Dec</t>
  </si>
  <si>
    <t xml:space="preserve">Procter &amp; Gamble</t>
  </si>
  <si>
    <t xml:space="preserve">P&amp;G - Fem Hygiene UK Pilot (Always / Tampax) / TLB</t>
  </si>
  <si>
    <t xml:space="preserve">Hassna Machkour</t>
  </si>
  <si>
    <t xml:space="preserve">Personal Care</t>
  </si>
  <si>
    <t xml:space="preserve">pg.com</t>
  </si>
  <si>
    <t xml:space="preserve">Peekboo</t>
  </si>
  <si>
    <t xml:space="preserve">Peekboo SOW1 - OCT 26</t>
  </si>
  <si>
    <t xml:space="preserve">Jonathan Howells</t>
  </si>
  <si>
    <t xml:space="preserve">Fitness First</t>
  </si>
  <si>
    <t xml:space="preserve">Fitness First Influencer Marketing Campaign</t>
  </si>
  <si>
    <t xml:space="preserve">Lee Pinnington</t>
  </si>
  <si>
    <t xml:space="preserve">Gyms</t>
  </si>
  <si>
    <t xml:space="preserve">fitnessfirst.com</t>
  </si>
  <si>
    <t xml:space="preserve">111Skin</t>
  </si>
  <si>
    <t xml:space="preserve">Michael Edelmann</t>
  </si>
  <si>
    <t xml:space="preserve">111skin.com</t>
  </si>
  <si>
    <t xml:space="preserve">AviaGames</t>
  </si>
  <si>
    <t xml:space="preserve">SC Halloween SOW 2 - SEP 26</t>
  </si>
  <si>
    <t xml:space="preserve">Chloe Zhang</t>
  </si>
  <si>
    <t xml:space="preserve">aviagames.com</t>
  </si>
  <si>
    <t xml:space="preserve">Merrell</t>
  </si>
  <si>
    <t xml:space="preserve">Kayla hanson</t>
  </si>
  <si>
    <t xml:space="preserve">Outdoor Footwear</t>
  </si>
  <si>
    <t xml:space="preserve">merrell.com</t>
  </si>
  <si>
    <t xml:space="preserve">Starco Brands</t>
  </si>
  <si>
    <t xml:space="preserve">Starco Brands [Winona]</t>
  </si>
  <si>
    <t xml:space="preserve">Ariella L Yager</t>
  </si>
  <si>
    <t xml:space="preserve">Consumer Brands</t>
  </si>
  <si>
    <t xml:space="preserve">starcobrands.com</t>
  </si>
  <si>
    <t xml:space="preserve">Loreal Ukraine</t>
  </si>
  <si>
    <t xml:space="preserve">Gifted UGC L'Oreal Ukraine</t>
  </si>
  <si>
    <t xml:space="preserve">tetiana boiar</t>
  </si>
  <si>
    <t xml:space="preserve">loreal.com</t>
  </si>
  <si>
    <t xml:space="preserve">MAYA</t>
  </si>
  <si>
    <t xml:space="preserve">MAYA Collectors Campaign SOW 3 - OCT 26</t>
  </si>
  <si>
    <t xml:space="preserve">Aayush Asthana</t>
  </si>
  <si>
    <t xml:space="preserve">Social Media App</t>
  </si>
  <si>
    <t xml:space="preserve">entermaya.com</t>
  </si>
  <si>
    <t xml:space="preserve">Amorepacific - BY27 brand/market / November</t>
  </si>
  <si>
    <t xml:space="preserve">Amorepacific - BY27 brand/market / December</t>
  </si>
  <si>
    <t xml:space="preserve">Maree/Olymptrade</t>
  </si>
  <si>
    <t xml:space="preserve">Olymptrade Influencer Campaign TikTok/ IG in Mena</t>
  </si>
  <si>
    <t xml:space="preserve">Anna Levchenko</t>
  </si>
  <si>
    <t xml:space="preserve">SweatCheck</t>
  </si>
  <si>
    <t xml:space="preserve">SweatCheck SOW 1 - OCT 26</t>
  </si>
  <si>
    <t xml:space="preserve">Cooper Fairman</t>
  </si>
  <si>
    <t xml:space="preserve">Fitness App</t>
  </si>
  <si>
    <t xml:space="preserve">sweatcheck.fit</t>
  </si>
  <si>
    <t xml:space="preserve">Wati</t>
  </si>
  <si>
    <t xml:space="preserve">Wati US Expansion SOW 1 - OCT 26</t>
  </si>
  <si>
    <t xml:space="preserve">Deepak Sharma</t>
  </si>
  <si>
    <t xml:space="preserve">wati.io</t>
  </si>
  <si>
    <t xml:space="preserve">cetaphil</t>
  </si>
  <si>
    <t xml:space="preserve">Cetaphil - Czech Influencer Campaign</t>
  </si>
  <si>
    <t xml:space="preserve">m rottova</t>
  </si>
  <si>
    <t xml:space="preserve">cetaphil.com</t>
  </si>
  <si>
    <t xml:space="preserve">Match Group</t>
  </si>
  <si>
    <t xml:space="preserve">Match Group - NEW / 2026</t>
  </si>
  <si>
    <t xml:space="preserve">Julia Estacolchic</t>
  </si>
  <si>
    <t xml:space="preserve">mtch.com</t>
  </si>
  <si>
    <t xml:space="preserve">Happn</t>
  </si>
  <si>
    <t xml:space="preserve">Annette Stakelbeek</t>
  </si>
  <si>
    <t xml:space="preserve">happn.com</t>
  </si>
  <si>
    <t xml:space="preserve">Fat Bastard Burrito Co.</t>
  </si>
  <si>
    <t xml:space="preserve">Fat Bastard Burrito [UGC]</t>
  </si>
  <si>
    <t xml:space="preserve">fatbastardburrito.ca</t>
  </si>
  <si>
    <t xml:space="preserve">Affiliate manager and influencer specialist</t>
  </si>
  <si>
    <t xml:space="preserve">Two Poles</t>
  </si>
  <si>
    <t xml:space="preserve">Two Poles - European Creator Landscape / Internationalisation</t>
  </si>
  <si>
    <t xml:space="preserve">Laura Murcia</t>
  </si>
  <si>
    <t xml:space="preserve">twopoles.co</t>
  </si>
  <si>
    <t xml:space="preserve">Open deals</t>
  </si>
  <si>
    <t xml:space="preserve">Pipeline (£)</t>
  </si>
  <si>
    <t xml:space="preserve">Furthest stage</t>
  </si>
  <si>
    <t xml:space="preserve">Contacts</t>
  </si>
  <si>
    <t xml:space="preserve">ezly, haram</t>
  </si>
  <si>
    <t xml:space="preserve">yeongeun, Judy - Jukyung Lee</t>
  </si>
  <si>
    <t xml:space="preserve">Settings</t>
  </si>
  <si>
    <t xml:space="preserve">Report date</t>
  </si>
  <si>
    <t xml:space="preserve">Rate to GBP</t>
  </si>
  <si>
    <t xml:space="preserve">Order</t>
  </si>
  <si>
    <t xml:space="preserve">Probability = Pipedrive stage default. Client status = "Existing client" if the brand has at least one won deal in Pipedrive.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</si>
</sst>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\£#,##0"/>
    <numFmt numFmtId="167" formatCode="General"/>
    <numFmt numFmtId="168" formatCode="0%"/>
    <numFmt numFmtId="169" formatCode="#,##0"/>
    <numFmt numFmtId="170" formatCode="dd\ mmm\ yy"/>
    <numFmt numFmtId="171" formatCode="dd\ mmm\ yyyy"/>
    <numFmt numFmtId="172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50E8D"/>
      <name val="Arial"/>
      <family val="0"/>
      <charset val="1"/>
    </font>
    <font>
      <sz val="11"/>
      <color rgb="FF8D2A9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50E8D"/>
      <name val="Arial"/>
      <family val="0"/>
      <charset val="1"/>
    </font>
    <font>
      <b val="true"/>
      <sz val="22"/>
      <color rgb="FFFFFFFF"/>
      <name val="Arial"/>
      <family val="0"/>
      <charset val="1"/>
    </font>
    <font>
      <b val="true"/>
      <sz val="13"/>
      <color rgb="FF250E8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50E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name val="Arial"/>
      <family val="0"/>
      <charset val="1"/>
    </font>
    <font>
      <u val="single"/>
      <sz val="10"/>
      <color rgb="FF8D2A90"/>
      <name val="Arial"/>
      <family val="0"/>
      <charset val="1"/>
    </font>
    <font>
      <sz val="10"/>
      <name val="Noto Sans CJK SC"/>
      <family val="2"/>
    </font>
    <font>
      <b val="true"/>
      <sz val="16"/>
      <color rgb="FF250E8D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50E8D"/>
        <bgColor rgb="FF000080"/>
      </patternFill>
    </fill>
    <fill>
      <patternFill patternType="solid">
        <fgColor rgb="FFEE4392"/>
        <bgColor rgb="FFF37A74"/>
      </patternFill>
    </fill>
    <fill>
      <patternFill patternType="solid">
        <fgColor rgb="FF8D2A90"/>
        <bgColor rgb="FF800080"/>
      </patternFill>
    </fill>
    <fill>
      <patternFill patternType="solid">
        <fgColor rgb="FFF8AA57"/>
        <bgColor rgb="FFF37A74"/>
      </patternFill>
    </fill>
    <fill>
      <patternFill patternType="solid">
        <fgColor rgb="FFF6F5FA"/>
        <bgColor rgb="FFFFFFFF"/>
      </patternFill>
    </fill>
    <fill>
      <patternFill patternType="solid">
        <fgColor rgb="FFFDE3EF"/>
        <bgColor rgb="FFECE6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2DD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250E8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CE6F7"/>
          <bgColor rgb="FF000000"/>
        </patternFill>
      </fill>
    </dxf>
    <dxf>
      <fill>
        <patternFill patternType="solid">
          <fgColor rgb="FFFEEBD6"/>
          <bgColor rgb="FF000000"/>
        </patternFill>
      </fill>
    </dxf>
    <dxf>
      <fill>
        <patternFill patternType="solid">
          <fgColor rgb="FF8D2A90"/>
          <bgColor rgb="FF000000"/>
        </patternFill>
      </fill>
    </dxf>
    <dxf>
      <fill>
        <patternFill patternType="solid">
          <fgColor rgb="FFD9CCEB"/>
          <bgColor rgb="FF000000"/>
        </patternFill>
      </fill>
    </dxf>
    <dxf>
      <fill>
        <patternFill patternType="solid">
          <fgColor rgb="FFEE4392"/>
          <bgColor rgb="FF000000"/>
        </patternFill>
      </fill>
    </dxf>
    <dxf>
      <fill>
        <patternFill patternType="solid">
          <fgColor rgb="FFF8B6D3"/>
          <bgColor rgb="FF000000"/>
        </patternFill>
      </fill>
    </dxf>
    <dxf>
      <fill>
        <patternFill patternType="solid">
          <fgColor rgb="FFFDE3EF"/>
          <bgColor rgb="FF000000"/>
        </patternFill>
      </fill>
    </dxf>
    <dxf>
      <fill>
        <patternFill patternType="solid">
          <fgColor rgb="FFF37A74"/>
          <bgColor rgb="FF000000"/>
        </patternFill>
      </fill>
    </dxf>
    <dxf>
      <font>
        <name val="Arial"/>
        <charset val="1"/>
        <family val="0"/>
        <b val="1"/>
        <color rgb="FF250E8D"/>
      </font>
      <fill>
        <patternFill>
          <bgColor rgb="FFECE6F7"/>
        </patternFill>
      </fill>
    </dxf>
    <dxf>
      <font>
        <name val="Arial"/>
        <charset val="1"/>
        <family val="0"/>
        <b val="1"/>
        <color rgb="FF250E8D"/>
      </font>
      <fill>
        <patternFill>
          <bgColor rgb="FFD9CCEB"/>
        </patternFill>
      </fill>
    </dxf>
    <dxf>
      <font>
        <name val="Arial"/>
        <charset val="1"/>
        <family val="0"/>
        <b val="1"/>
        <color rgb="FF250E8D"/>
      </font>
      <fill>
        <patternFill>
          <bgColor rgb="FFFDE3EF"/>
        </patternFill>
      </fill>
    </dxf>
    <dxf>
      <font>
        <name val="Arial"/>
        <charset val="1"/>
        <family val="0"/>
        <b val="1"/>
        <color rgb="FF250E8D"/>
      </font>
      <fill>
        <patternFill>
          <bgColor rgb="FFF8B6D3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E4392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8D2A90"/>
        </patternFill>
      </fill>
    </dxf>
    <dxf>
      <font>
        <name val="Arial"/>
        <charset val="1"/>
        <family val="0"/>
        <b val="1"/>
        <color rgb="FF250E8D"/>
      </font>
      <fill>
        <patternFill>
          <bgColor rgb="FFFEEBD6"/>
        </patternFill>
      </fill>
    </dxf>
    <dxf>
      <font>
        <name val="Arial"/>
        <charset val="1"/>
        <family val="0"/>
        <color rgb="FF8D2A90"/>
      </font>
      <fill>
        <patternFill>
          <bgColor rgb="FFECE6F7"/>
        </patternFill>
      </fill>
    </dxf>
    <dxf>
      <font>
        <name val="Arial"/>
        <charset val="1"/>
        <family val="0"/>
        <b val="1"/>
        <color rgb="FFF37A74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250E8D"/>
      <rgbColor rgb="FF808000"/>
      <rgbColor rgb="FF800080"/>
      <rgbColor rgb="FF008080"/>
      <rgbColor rgb="FFD9D9D9"/>
      <rgbColor rgb="FF878787"/>
      <rgbColor rgb="FF9999FF"/>
      <rgbColor rgb="FF8D2A90"/>
      <rgbColor rgb="FFFEEBD6"/>
      <rgbColor rgb="FFF6F5FA"/>
      <rgbColor rgb="FF660066"/>
      <rgbColor rgb="FFF37A74"/>
      <rgbColor rgb="FF0066CC"/>
      <rgbColor rgb="FFD9CC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6F7"/>
      <rgbColor rgb="FFE2DDF0"/>
      <rgbColor rgb="FFFFFF99"/>
      <rgbColor rgb="FF99CCFF"/>
      <rgbColor rgb="FFF8B6D3"/>
      <rgbColor rgb="FFCC99FF"/>
      <rgbColor rgb="FFFDE3EF"/>
      <rgbColor rgb="FF3366FF"/>
      <rgbColor rgb="FF33CCCC"/>
      <rgbColor rgb="FF99CC00"/>
      <rgbColor rgb="FFFFCC00"/>
      <rgbColor rgb="FFF8AA57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EE4392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Pipeline value by stage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ee4392"/>
            </a:solidFill>
            <a:ln w="0">
              <a:solidFill>
                <a:srgbClr val="ee4392"/>
              </a:solidFill>
            </a:ln>
          </c:spPr>
          <c:invertIfNegative val="0"/>
          <c:dLbls>
            <c:numFmt formatCode="\£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Summary!$B$10:$B$15</c:f>
              <c:strCache>
                <c:ptCount val="6"/>
                <c:pt idx="0">
                  <c:v>Understand Need/Problem</c:v>
                </c:pt>
                <c:pt idx="1">
                  <c:v>Create Proposal</c:v>
                </c:pt>
                <c:pt idx="2">
                  <c:v>Present Proposal</c:v>
                </c:pt>
                <c:pt idx="3">
                  <c:v>Feedback</c:v>
                </c:pt>
                <c:pt idx="4">
                  <c:v>Negotiation</c:v>
                </c:pt>
                <c:pt idx="5">
                  <c:v>IO Sent Out</c:v>
                </c:pt>
              </c:strCache>
            </c:strRef>
          </c:cat>
          <c:val>
            <c:numRef>
              <c:f>Summary!$E$10:$E$15</c:f>
              <c:numCache>
                <c:formatCode>\£#,##0</c:formatCode>
                <c:ptCount val="6"/>
                <c:pt idx="0">
                  <c:v>1586687</c:v>
                </c:pt>
                <c:pt idx="1">
                  <c:v>1409150</c:v>
                </c:pt>
                <c:pt idx="2">
                  <c:v>991590</c:v>
                </c:pt>
                <c:pt idx="3">
                  <c:v>1803900</c:v>
                </c:pt>
                <c:pt idx="4">
                  <c:v>877540</c:v>
                </c:pt>
                <c:pt idx="5">
                  <c:v>761880</c:v>
                </c:pt>
              </c:numCache>
            </c:numRef>
          </c:val>
        </c:ser>
        <c:gapWidth val="50"/>
        <c:overlap val="0"/>
        <c:axId val="29878156"/>
        <c:axId val="39216141"/>
      </c:barChart>
      <c:catAx>
        <c:axId val="298781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216141"/>
        <c:crosses val="autoZero"/>
        <c:auto val="1"/>
        <c:lblAlgn val="ctr"/>
        <c:lblOffset val="100"/>
        <c:noMultiLvlLbl val="0"/>
      </c:catAx>
      <c:valAx>
        <c:axId val="39216141"/>
        <c:scaling>
          <c:orientation val="minMax"/>
        </c:scaling>
        <c:delete val="1"/>
        <c:axPos val="l"/>
        <c:numFmt formatCode="\£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87815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Pipeline value by Account Owner (£)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8d2a90"/>
            </a:solidFill>
            <a:ln w="0">
              <a:solidFill>
                <a:srgbClr val="8d2a90"/>
              </a:solidFill>
            </a:ln>
          </c:spPr>
          <c:invertIfNegative val="0"/>
          <c:dLbls>
            <c:numFmt formatCode="\£#,##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Summary!$H$10:$H$12</c:f>
              <c:strCache>
                <c:ptCount val="3"/>
                <c:pt idx="0">
                  <c:v>Valeriia Mukhai</c:v>
                </c:pt>
                <c:pt idx="1">
                  <c:v>Ritchie Boubouli</c:v>
                </c:pt>
                <c:pt idx="2">
                  <c:v>Carrick Klopper</c:v>
                </c:pt>
              </c:strCache>
            </c:strRef>
          </c:cat>
          <c:val>
            <c:numRef>
              <c:f>Summary!$J$10:$J$12</c:f>
              <c:numCache>
                <c:formatCode>\£#,##0</c:formatCode>
                <c:ptCount val="3"/>
                <c:pt idx="0">
                  <c:v>3332010</c:v>
                </c:pt>
                <c:pt idx="1">
                  <c:v>2249937</c:v>
                </c:pt>
                <c:pt idx="2">
                  <c:v>1848800</c:v>
                </c:pt>
              </c:numCache>
            </c:numRef>
          </c:val>
        </c:ser>
        <c:gapWidth val="50"/>
        <c:overlap val="0"/>
        <c:axId val="56476903"/>
        <c:axId val="87899714"/>
      </c:barChart>
      <c:catAx>
        <c:axId val="5647690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99714"/>
        <c:crosses val="autoZero"/>
        <c:auto val="1"/>
        <c:lblAlgn val="ctr"/>
        <c:lblOffset val="100"/>
        <c:noMultiLvlLbl val="0"/>
      </c:catAx>
      <c:valAx>
        <c:axId val="87899714"/>
        <c:scaling>
          <c:orientation val="minMax"/>
        </c:scaling>
        <c:delete val="1"/>
        <c:axPos val="l"/>
        <c:numFmt formatCode="\£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76903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161280</xdr:rowOff>
    </xdr:from>
    <xdr:to>
      <xdr:col>7</xdr:col>
      <xdr:colOff>230400</xdr:colOff>
      <xdr:row>49</xdr:row>
      <xdr:rowOff>158040</xdr:rowOff>
    </xdr:to>
    <xdr:graphicFrame>
      <xdr:nvGraphicFramePr>
        <xdr:cNvPr id="0" name="Chart 1"/>
        <xdr:cNvGraphicFramePr/>
      </xdr:nvGraphicFramePr>
      <xdr:xfrm>
        <a:off x="141120" y="7553160"/>
        <a:ext cx="59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33</xdr:row>
      <xdr:rowOff>161280</xdr:rowOff>
    </xdr:from>
    <xdr:to>
      <xdr:col>13</xdr:col>
      <xdr:colOff>276120</xdr:colOff>
      <xdr:row>49</xdr:row>
      <xdr:rowOff>158040</xdr:rowOff>
    </xdr:to>
    <xdr:graphicFrame>
      <xdr:nvGraphicFramePr>
        <xdr:cNvPr id="1" name="Chart 2"/>
        <xdr:cNvGraphicFramePr/>
      </xdr:nvGraphicFramePr>
      <xdr:xfrm>
        <a:off x="5850360" y="7553160"/>
        <a:ext cx="593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runwayml.com/" TargetMode="External"/><Relationship Id="rId2" Type="http://schemas.openxmlformats.org/officeDocument/2006/relationships/hyperlink" Target="https://oreateai.com/" TargetMode="External"/><Relationship Id="rId3" Type="http://schemas.openxmlformats.org/officeDocument/2006/relationships/hyperlink" Target="https://milip.kr/" TargetMode="External"/><Relationship Id="rId4" Type="http://schemas.openxmlformats.org/officeDocument/2006/relationships/hyperlink" Target="https://comfortclick.co.uk/" TargetMode="External"/><Relationship Id="rId5" Type="http://schemas.openxmlformats.org/officeDocument/2006/relationships/hyperlink" Target="https://oreateai.com/" TargetMode="External"/><Relationship Id="rId6" Type="http://schemas.openxmlformats.org/officeDocument/2006/relationships/hyperlink" Target="https://groupeseb.com/" TargetMode="External"/><Relationship Id="rId7" Type="http://schemas.openxmlformats.org/officeDocument/2006/relationships/hyperlink" Target="https://mediheal.com/" TargetMode="External"/><Relationship Id="rId8" Type="http://schemas.openxmlformats.org/officeDocument/2006/relationships/hyperlink" Target="https://avatrade.com/" TargetMode="External"/><Relationship Id="rId9" Type="http://schemas.openxmlformats.org/officeDocument/2006/relationships/hyperlink" Target="https://amorepacific.com/" TargetMode="External"/><Relationship Id="rId10" Type="http://schemas.openxmlformats.org/officeDocument/2006/relationships/hyperlink" Target="https://sparkli.ai/" TargetMode="External"/><Relationship Id="rId11" Type="http://schemas.openxmlformats.org/officeDocument/2006/relationships/hyperlink" Target="https://tfit.co.kr/" TargetMode="External"/><Relationship Id="rId12" Type="http://schemas.openxmlformats.org/officeDocument/2006/relationships/hyperlink" Target="https://zonevoice.com/" TargetMode="External"/><Relationship Id="rId13" Type="http://schemas.openxmlformats.org/officeDocument/2006/relationships/hyperlink" Target="https://sparkli.ai/" TargetMode="External"/><Relationship Id="rId14" Type="http://schemas.openxmlformats.org/officeDocument/2006/relationships/hyperlink" Target="https://samchic.co.kr/" TargetMode="External"/><Relationship Id="rId15" Type="http://schemas.openxmlformats.org/officeDocument/2006/relationships/hyperlink" Target="https://beautyofjoseon.com/" TargetMode="External"/><Relationship Id="rId16" Type="http://schemas.openxmlformats.org/officeDocument/2006/relationships/hyperlink" Target="https://comfortclick.co.uk/" TargetMode="External"/><Relationship Id="rId17" Type="http://schemas.openxmlformats.org/officeDocument/2006/relationships/hyperlink" Target="https://team-sport.com/" TargetMode="External"/><Relationship Id="rId18" Type="http://schemas.openxmlformats.org/officeDocument/2006/relationships/hyperlink" Target="https://finom.co/" TargetMode="External"/><Relationship Id="rId19" Type="http://schemas.openxmlformats.org/officeDocument/2006/relationships/hyperlink" Target="https://beautyofjoseon.com/" TargetMode="External"/><Relationship Id="rId20" Type="http://schemas.openxmlformats.org/officeDocument/2006/relationships/hyperlink" Target="https://iworldus.com/" TargetMode="External"/><Relationship Id="rId21" Type="http://schemas.openxmlformats.org/officeDocument/2006/relationships/hyperlink" Target="https://oreateai.com/" TargetMode="External"/><Relationship Id="rId22" Type="http://schemas.openxmlformats.org/officeDocument/2006/relationships/hyperlink" Target="https://vitrinclinic.com/" TargetMode="External"/><Relationship Id="rId23" Type="http://schemas.openxmlformats.org/officeDocument/2006/relationships/hyperlink" Target="https://vitrinclinic.com/" TargetMode="External"/><Relationship Id="rId24" Type="http://schemas.openxmlformats.org/officeDocument/2006/relationships/hyperlink" Target="https://firerock.sg/" TargetMode="External"/><Relationship Id="rId25" Type="http://schemas.openxmlformats.org/officeDocument/2006/relationships/hyperlink" Target="https://paddywax.com/" TargetMode="External"/><Relationship Id="rId26" Type="http://schemas.openxmlformats.org/officeDocument/2006/relationships/hyperlink" Target="https://astrotalk.com/" TargetMode="External"/><Relationship Id="rId27" Type="http://schemas.openxmlformats.org/officeDocument/2006/relationships/hyperlink" Target="https://bitelab.co.kr/" TargetMode="External"/><Relationship Id="rId28" Type="http://schemas.openxmlformats.org/officeDocument/2006/relationships/hyperlink" Target="https://myntro.com/" TargetMode="External"/><Relationship Id="rId29" Type="http://schemas.openxmlformats.org/officeDocument/2006/relationships/hyperlink" Target="https://bnckorea.co.kr/" TargetMode="External"/><Relationship Id="rId30" Type="http://schemas.openxmlformats.org/officeDocument/2006/relationships/hyperlink" Target="https://astrotalk.com/" TargetMode="External"/><Relationship Id="rId31" Type="http://schemas.openxmlformats.org/officeDocument/2006/relationships/hyperlink" Target="https://tfit.co.kr/" TargetMode="External"/><Relationship Id="rId32" Type="http://schemas.openxmlformats.org/officeDocument/2006/relationships/hyperlink" Target="https://beautyofjoseon.com/" TargetMode="External"/><Relationship Id="rId33" Type="http://schemas.openxmlformats.org/officeDocument/2006/relationships/hyperlink" Target="https://scrubdaddy.eu/" TargetMode="External"/><Relationship Id="rId34" Type="http://schemas.openxmlformats.org/officeDocument/2006/relationships/hyperlink" Target="https://webull-uk.com/" TargetMode="External"/><Relationship Id="rId35" Type="http://schemas.openxmlformats.org/officeDocument/2006/relationships/hyperlink" Target="https://beautyofjoseon.com/" TargetMode="External"/><Relationship Id="rId36" Type="http://schemas.openxmlformats.org/officeDocument/2006/relationships/hyperlink" Target="https://ago.ca/" TargetMode="External"/><Relationship Id="rId37" Type="http://schemas.openxmlformats.org/officeDocument/2006/relationships/hyperlink" Target="https://dartscorner.co.uk/" TargetMode="External"/><Relationship Id="rId38" Type="http://schemas.openxmlformats.org/officeDocument/2006/relationships/hyperlink" Target="https://efginternational.com/" TargetMode="External"/><Relationship Id="rId39" Type="http://schemas.openxmlformats.org/officeDocument/2006/relationships/hyperlink" Target="https://kedrion.com/" TargetMode="External"/><Relationship Id="rId40" Type="http://schemas.openxmlformats.org/officeDocument/2006/relationships/hyperlink" Target="https://beautyofjoseon.com/" TargetMode="External"/><Relationship Id="rId41" Type="http://schemas.openxmlformats.org/officeDocument/2006/relationships/hyperlink" Target="https://beautyofjoseon.com/" TargetMode="External"/><Relationship Id="rId42" Type="http://schemas.openxmlformats.org/officeDocument/2006/relationships/hyperlink" Target="https://ramseysolutions.com/" TargetMode="External"/><Relationship Id="rId43" Type="http://schemas.openxmlformats.org/officeDocument/2006/relationships/hyperlink" Target="https://ollies.us/" TargetMode="External"/><Relationship Id="rId44" Type="http://schemas.openxmlformats.org/officeDocument/2006/relationships/hyperlink" Target="https://verizon.com/" TargetMode="External"/><Relationship Id="rId45" Type="http://schemas.openxmlformats.org/officeDocument/2006/relationships/hyperlink" Target="https://glolabz.com/" TargetMode="External"/><Relationship Id="rId46" Type="http://schemas.openxmlformats.org/officeDocument/2006/relationships/hyperlink" Target="https://merakitech.com/" TargetMode="External"/><Relationship Id="rId47" Type="http://schemas.openxmlformats.org/officeDocument/2006/relationships/hyperlink" Target="https://galderma.com/" TargetMode="External"/><Relationship Id="rId48" Type="http://schemas.openxmlformats.org/officeDocument/2006/relationships/hyperlink" Target="https://monogram.ai/" TargetMode="External"/><Relationship Id="rId49" Type="http://schemas.openxmlformats.org/officeDocument/2006/relationships/hyperlink" Target="https://nealsyardremedies.com/" TargetMode="External"/><Relationship Id="rId50" Type="http://schemas.openxmlformats.org/officeDocument/2006/relationships/hyperlink" Target="https://vioratest.com/" TargetMode="External"/><Relationship Id="rId51" Type="http://schemas.openxmlformats.org/officeDocument/2006/relationships/hyperlink" Target="https://studiomosaicapps.com/" TargetMode="External"/><Relationship Id="rId52" Type="http://schemas.openxmlformats.org/officeDocument/2006/relationships/hyperlink" Target="https://riviera-dazur.com/" TargetMode="External"/><Relationship Id="rId53" Type="http://schemas.openxmlformats.org/officeDocument/2006/relationships/hyperlink" Target="https://royalcanin.com/" TargetMode="External"/><Relationship Id="rId54" Type="http://schemas.openxmlformats.org/officeDocument/2006/relationships/hyperlink" Target="https://aldermore.co.uk/" TargetMode="External"/><Relationship Id="rId55" Type="http://schemas.openxmlformats.org/officeDocument/2006/relationships/hyperlink" Target="https://pacsen.net/" TargetMode="External"/><Relationship Id="rId56" Type="http://schemas.openxmlformats.org/officeDocument/2006/relationships/hyperlink" Target="https://cornbreadhemp.com/" TargetMode="External"/><Relationship Id="rId57" Type="http://schemas.openxmlformats.org/officeDocument/2006/relationships/hyperlink" Target="https://wednesdaywaffles.com/" TargetMode="External"/><Relationship Id="rId58" Type="http://schemas.openxmlformats.org/officeDocument/2006/relationships/hyperlink" Target="https://bcfc.com/" TargetMode="External"/><Relationship Id="rId59" Type="http://schemas.openxmlformats.org/officeDocument/2006/relationships/hyperlink" Target="https://finom.co/" TargetMode="External"/><Relationship Id="rId60" Type="http://schemas.openxmlformats.org/officeDocument/2006/relationships/hyperlink" Target="https://cosrx.com/" TargetMode="External"/><Relationship Id="rId61" Type="http://schemas.openxmlformats.org/officeDocument/2006/relationships/hyperlink" Target="https://isehan.co.jp/" TargetMode="External"/><Relationship Id="rId62" Type="http://schemas.openxmlformats.org/officeDocument/2006/relationships/hyperlink" Target="https://royalcanin.com/" TargetMode="External"/><Relationship Id="rId63" Type="http://schemas.openxmlformats.org/officeDocument/2006/relationships/hyperlink" Target="https://amorepacific.com/" TargetMode="External"/><Relationship Id="rId64" Type="http://schemas.openxmlformats.org/officeDocument/2006/relationships/hyperlink" Target="https://stellarisrobot.com/" TargetMode="External"/><Relationship Id="rId65" Type="http://schemas.openxmlformats.org/officeDocument/2006/relationships/hyperlink" Target="https://byoma.com/" TargetMode="External"/><Relationship Id="rId66" Type="http://schemas.openxmlformats.org/officeDocument/2006/relationships/hyperlink" Target="https://beautyofjoseon.com/" TargetMode="External"/><Relationship Id="rId67" Type="http://schemas.openxmlformats.org/officeDocument/2006/relationships/hyperlink" Target="https://skylum.com/" TargetMode="External"/><Relationship Id="rId68" Type="http://schemas.openxmlformats.org/officeDocument/2006/relationships/hyperlink" Target="https://opera.com/" TargetMode="External"/><Relationship Id="rId69" Type="http://schemas.openxmlformats.org/officeDocument/2006/relationships/hyperlink" Target="https://mbchicken.co.uk/" TargetMode="External"/><Relationship Id="rId70" Type="http://schemas.openxmlformats.org/officeDocument/2006/relationships/hyperlink" Target="https://i-ne.co.jp/" TargetMode="External"/><Relationship Id="rId71" Type="http://schemas.openxmlformats.org/officeDocument/2006/relationships/hyperlink" Target="https://whitecapsfc.com/" TargetMode="External"/><Relationship Id="rId72" Type="http://schemas.openxmlformats.org/officeDocument/2006/relationships/hyperlink" Target="https://expediagroup.com/" TargetMode="External"/><Relationship Id="rId73" Type="http://schemas.openxmlformats.org/officeDocument/2006/relationships/hyperlink" Target="https://kia.com/" TargetMode="External"/><Relationship Id="rId74" Type="http://schemas.openxmlformats.org/officeDocument/2006/relationships/hyperlink" Target="https://konufoods.com/" TargetMode="External"/><Relationship Id="rId75" Type="http://schemas.openxmlformats.org/officeDocument/2006/relationships/hyperlink" Target="https://macaly.com/" TargetMode="External"/><Relationship Id="rId76" Type="http://schemas.openxmlformats.org/officeDocument/2006/relationships/hyperlink" Target="https://damm.com/" TargetMode="External"/><Relationship Id="rId77" Type="http://schemas.openxmlformats.org/officeDocument/2006/relationships/hyperlink" Target="https://ashleymadison.com/" TargetMode="External"/><Relationship Id="rId78" Type="http://schemas.openxmlformats.org/officeDocument/2006/relationships/hyperlink" Target="https://curias.io/" TargetMode="External"/><Relationship Id="rId79" Type="http://schemas.openxmlformats.org/officeDocument/2006/relationships/hyperlink" Target="https://nnespana.es/" TargetMode="External"/><Relationship Id="rId80" Type="http://schemas.openxmlformats.org/officeDocument/2006/relationships/hyperlink" Target="https://kenvue.com/" TargetMode="External"/><Relationship Id="rId81" Type="http://schemas.openxmlformats.org/officeDocument/2006/relationships/hyperlink" Target="https://gopro.com/" TargetMode="External"/><Relationship Id="rId82" Type="http://schemas.openxmlformats.org/officeDocument/2006/relationships/hyperlink" Target="https://norwegianlog.co.uk/" TargetMode="External"/><Relationship Id="rId83" Type="http://schemas.openxmlformats.org/officeDocument/2006/relationships/hyperlink" Target="https://redweek.com/" TargetMode="External"/><Relationship Id="rId84" Type="http://schemas.openxmlformats.org/officeDocument/2006/relationships/hyperlink" Target="https://trip.com/" TargetMode="External"/><Relationship Id="rId85" Type="http://schemas.openxmlformats.org/officeDocument/2006/relationships/hyperlink" Target="https://kotra.or.kr/" TargetMode="External"/><Relationship Id="rId86" Type="http://schemas.openxmlformats.org/officeDocument/2006/relationships/hyperlink" Target="https://gsma.com/" TargetMode="External"/><Relationship Id="rId87" Type="http://schemas.openxmlformats.org/officeDocument/2006/relationships/hyperlink" Target="https://ashleymadison.com/" TargetMode="External"/><Relationship Id="rId88" Type="http://schemas.openxmlformats.org/officeDocument/2006/relationships/hyperlink" Target="https://grupobimbo.com/" TargetMode="External"/><Relationship Id="rId89" Type="http://schemas.openxmlformats.org/officeDocument/2006/relationships/hyperlink" Target="https://atlascapture.io/" TargetMode="External"/><Relationship Id="rId90" Type="http://schemas.openxmlformats.org/officeDocument/2006/relationships/hyperlink" Target="https://heytea.com/" TargetMode="External"/><Relationship Id="rId91" Type="http://schemas.openxmlformats.org/officeDocument/2006/relationships/hyperlink" Target="https://vinted.com/" TargetMode="External"/><Relationship Id="rId92" Type="http://schemas.openxmlformats.org/officeDocument/2006/relationships/hyperlink" Target="https://nva.com/" TargetMode="External"/><Relationship Id="rId93" Type="http://schemas.openxmlformats.org/officeDocument/2006/relationships/hyperlink" Target="https://hapimag.com/" TargetMode="External"/><Relationship Id="rId94" Type="http://schemas.openxmlformats.org/officeDocument/2006/relationships/hyperlink" Target="https://runwayml.com/" TargetMode="External"/><Relationship Id="rId95" Type="http://schemas.openxmlformats.org/officeDocument/2006/relationships/hyperlink" Target="https://olymptrade.com/" TargetMode="External"/><Relationship Id="rId96" Type="http://schemas.openxmlformats.org/officeDocument/2006/relationships/hyperlink" Target="https://beautyofjoseon.com/" TargetMode="External"/><Relationship Id="rId97" Type="http://schemas.openxmlformats.org/officeDocument/2006/relationships/hyperlink" Target="https://nn-group.com/" TargetMode="External"/><Relationship Id="rId98" Type="http://schemas.openxmlformats.org/officeDocument/2006/relationships/hyperlink" Target="https://davidlloyd.co.uk/" TargetMode="External"/><Relationship Id="rId99" Type="http://schemas.openxmlformats.org/officeDocument/2006/relationships/hyperlink" Target="https://chillsim.net/" TargetMode="External"/><Relationship Id="rId100" Type="http://schemas.openxmlformats.org/officeDocument/2006/relationships/hyperlink" Target="https://drjart.com/" TargetMode="External"/><Relationship Id="rId101" Type="http://schemas.openxmlformats.org/officeDocument/2006/relationships/hyperlink" Target="https://medtrition.com/" TargetMode="External"/><Relationship Id="rId102" Type="http://schemas.openxmlformats.org/officeDocument/2006/relationships/hyperlink" Target="https://finom.co/" TargetMode="External"/><Relationship Id="rId103" Type="http://schemas.openxmlformats.org/officeDocument/2006/relationships/hyperlink" Target="https://kioland.co.kr/" TargetMode="External"/><Relationship Id="rId104" Type="http://schemas.openxmlformats.org/officeDocument/2006/relationships/hyperlink" Target="https://bitelab.co.kr/" TargetMode="External"/><Relationship Id="rId105" Type="http://schemas.openxmlformats.org/officeDocument/2006/relationships/hyperlink" Target="https://thepicton.com/" TargetMode="External"/><Relationship Id="rId106" Type="http://schemas.openxmlformats.org/officeDocument/2006/relationships/hyperlink" Target="https://opera.com/" TargetMode="External"/><Relationship Id="rId107" Type="http://schemas.openxmlformats.org/officeDocument/2006/relationships/hyperlink" Target="https://pg.com/" TargetMode="External"/><Relationship Id="rId108" Type="http://schemas.openxmlformats.org/officeDocument/2006/relationships/hyperlink" Target="https://fitnessfirst.com/" TargetMode="External"/><Relationship Id="rId109" Type="http://schemas.openxmlformats.org/officeDocument/2006/relationships/hyperlink" Target="https://111skin.com/" TargetMode="External"/><Relationship Id="rId110" Type="http://schemas.openxmlformats.org/officeDocument/2006/relationships/hyperlink" Target="https://aviagames.com/" TargetMode="External"/><Relationship Id="rId111" Type="http://schemas.openxmlformats.org/officeDocument/2006/relationships/hyperlink" Target="https://merrell.com/" TargetMode="External"/><Relationship Id="rId112" Type="http://schemas.openxmlformats.org/officeDocument/2006/relationships/hyperlink" Target="https://starcobrands.com/" TargetMode="External"/><Relationship Id="rId113" Type="http://schemas.openxmlformats.org/officeDocument/2006/relationships/hyperlink" Target="https://loreal.com/" TargetMode="External"/><Relationship Id="rId114" Type="http://schemas.openxmlformats.org/officeDocument/2006/relationships/hyperlink" Target="https://entermaya.com/" TargetMode="External"/><Relationship Id="rId115" Type="http://schemas.openxmlformats.org/officeDocument/2006/relationships/hyperlink" Target="https://amorepacific.com/" TargetMode="External"/><Relationship Id="rId116" Type="http://schemas.openxmlformats.org/officeDocument/2006/relationships/hyperlink" Target="https://amorepacific.com/" TargetMode="External"/><Relationship Id="rId117" Type="http://schemas.openxmlformats.org/officeDocument/2006/relationships/hyperlink" Target="https://olymptrade.com/" TargetMode="External"/><Relationship Id="rId118" Type="http://schemas.openxmlformats.org/officeDocument/2006/relationships/hyperlink" Target="https://sweatcheck.fit/" TargetMode="External"/><Relationship Id="rId119" Type="http://schemas.openxmlformats.org/officeDocument/2006/relationships/hyperlink" Target="https://wati.io/" TargetMode="External"/><Relationship Id="rId120" Type="http://schemas.openxmlformats.org/officeDocument/2006/relationships/hyperlink" Target="https://cetaphil.com/" TargetMode="External"/><Relationship Id="rId121" Type="http://schemas.openxmlformats.org/officeDocument/2006/relationships/hyperlink" Target="https://mtch.com/" TargetMode="External"/><Relationship Id="rId122" Type="http://schemas.openxmlformats.org/officeDocument/2006/relationships/hyperlink" Target="https://happn.com/" TargetMode="External"/><Relationship Id="rId123" Type="http://schemas.openxmlformats.org/officeDocument/2006/relationships/hyperlink" Target="https://fatbastardburrito.ca/" TargetMode="External"/><Relationship Id="rId124" Type="http://schemas.openxmlformats.org/officeDocument/2006/relationships/hyperlink" Target="https://avatrade.com/" TargetMode="External"/><Relationship Id="rId125" Type="http://schemas.openxmlformats.org/officeDocument/2006/relationships/hyperlink" Target="https://twopoles.co/" TargetMode="External"/><Relationship Id="rId126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kia.com/" TargetMode="External"/><Relationship Id="rId2" Type="http://schemas.openxmlformats.org/officeDocument/2006/relationships/hyperlink" Target="https://runwayml.com/" TargetMode="External"/><Relationship Id="rId3" Type="http://schemas.openxmlformats.org/officeDocument/2006/relationships/hyperlink" Target="https://beautyofjoseon.com/" TargetMode="External"/><Relationship Id="rId4" Type="http://schemas.openxmlformats.org/officeDocument/2006/relationships/hyperlink" Target="https://amorepacific.com/" TargetMode="External"/><Relationship Id="rId5" Type="http://schemas.openxmlformats.org/officeDocument/2006/relationships/hyperlink" Target="https://royalcanin.com/" TargetMode="External"/><Relationship Id="rId6" Type="http://schemas.openxmlformats.org/officeDocument/2006/relationships/hyperlink" Target="https://webull-uk.com/" TargetMode="External"/><Relationship Id="rId7" Type="http://schemas.openxmlformats.org/officeDocument/2006/relationships/hyperlink" Target="https://oreateai.com/" TargetMode="External"/><Relationship Id="rId8" Type="http://schemas.openxmlformats.org/officeDocument/2006/relationships/hyperlink" Target="https://olymptrade.com/" TargetMode="External"/><Relationship Id="rId9" Type="http://schemas.openxmlformats.org/officeDocument/2006/relationships/hyperlink" Target="https://konufoods.com/" TargetMode="External"/><Relationship Id="rId10" Type="http://schemas.openxmlformats.org/officeDocument/2006/relationships/hyperlink" Target="https://zonevoice.com/" TargetMode="External"/><Relationship Id="rId11" Type="http://schemas.openxmlformats.org/officeDocument/2006/relationships/hyperlink" Target="https://comfortclick.co.uk/" TargetMode="External"/><Relationship Id="rId12" Type="http://schemas.openxmlformats.org/officeDocument/2006/relationships/hyperlink" Target="https://finom.co/" TargetMode="External"/><Relationship Id="rId13" Type="http://schemas.openxmlformats.org/officeDocument/2006/relationships/hyperlink" Target="https://ago.ca/" TargetMode="External"/><Relationship Id="rId14" Type="http://schemas.openxmlformats.org/officeDocument/2006/relationships/hyperlink" Target="https://dartscorner.co.uk/" TargetMode="External"/><Relationship Id="rId15" Type="http://schemas.openxmlformats.org/officeDocument/2006/relationships/hyperlink" Target="https://stellarisrobot.com/" TargetMode="External"/><Relationship Id="rId16" Type="http://schemas.openxmlformats.org/officeDocument/2006/relationships/hyperlink" Target="https://efginternational.com/" TargetMode="External"/><Relationship Id="rId17" Type="http://schemas.openxmlformats.org/officeDocument/2006/relationships/hyperlink" Target="https://macaly.com/" TargetMode="External"/><Relationship Id="rId18" Type="http://schemas.openxmlformats.org/officeDocument/2006/relationships/hyperlink" Target="https://nn-group.com/" TargetMode="External"/><Relationship Id="rId19" Type="http://schemas.openxmlformats.org/officeDocument/2006/relationships/hyperlink" Target="https://sparkli.ai/" TargetMode="External"/><Relationship Id="rId20" Type="http://schemas.openxmlformats.org/officeDocument/2006/relationships/hyperlink" Target="https://kedrion.com/" TargetMode="External"/><Relationship Id="rId21" Type="http://schemas.openxmlformats.org/officeDocument/2006/relationships/hyperlink" Target="https://milip.kr/" TargetMode="External"/><Relationship Id="rId22" Type="http://schemas.openxmlformats.org/officeDocument/2006/relationships/hyperlink" Target="https://vitrinclinic.com/" TargetMode="External"/><Relationship Id="rId23" Type="http://schemas.openxmlformats.org/officeDocument/2006/relationships/hyperlink" Target="https://ramseysolutions.com/" TargetMode="External"/><Relationship Id="rId24" Type="http://schemas.openxmlformats.org/officeDocument/2006/relationships/hyperlink" Target="https://ollies.us/" TargetMode="External"/><Relationship Id="rId25" Type="http://schemas.openxmlformats.org/officeDocument/2006/relationships/hyperlink" Target="https://verizon.com/" TargetMode="External"/><Relationship Id="rId26" Type="http://schemas.openxmlformats.org/officeDocument/2006/relationships/hyperlink" Target="https://glolabz.com/" TargetMode="External"/><Relationship Id="rId27" Type="http://schemas.openxmlformats.org/officeDocument/2006/relationships/hyperlink" Target="https://merakitech.com/" TargetMode="External"/><Relationship Id="rId28" Type="http://schemas.openxmlformats.org/officeDocument/2006/relationships/hyperlink" Target="https://byoma.com/" TargetMode="External"/><Relationship Id="rId29" Type="http://schemas.openxmlformats.org/officeDocument/2006/relationships/hyperlink" Target="https://opera.com/" TargetMode="External"/><Relationship Id="rId30" Type="http://schemas.openxmlformats.org/officeDocument/2006/relationships/hyperlink" Target="https://galderma.com/" TargetMode="External"/><Relationship Id="rId31" Type="http://schemas.openxmlformats.org/officeDocument/2006/relationships/hyperlink" Target="https://monogram.ai/" TargetMode="External"/><Relationship Id="rId32" Type="http://schemas.openxmlformats.org/officeDocument/2006/relationships/hyperlink" Target="https://bitelab.co.kr/" TargetMode="External"/><Relationship Id="rId33" Type="http://schemas.openxmlformats.org/officeDocument/2006/relationships/hyperlink" Target="https://ashleymadison.com/" TargetMode="External"/><Relationship Id="rId34" Type="http://schemas.openxmlformats.org/officeDocument/2006/relationships/hyperlink" Target="https://nealsyardremedies.com/" TargetMode="External"/><Relationship Id="rId35" Type="http://schemas.openxmlformats.org/officeDocument/2006/relationships/hyperlink" Target="https://davidlloyd.co.uk/" TargetMode="External"/><Relationship Id="rId36" Type="http://schemas.openxmlformats.org/officeDocument/2006/relationships/hyperlink" Target="https://samchic.co.kr/" TargetMode="External"/><Relationship Id="rId37" Type="http://schemas.openxmlformats.org/officeDocument/2006/relationships/hyperlink" Target="https://astrotalk.com/" TargetMode="External"/><Relationship Id="rId38" Type="http://schemas.openxmlformats.org/officeDocument/2006/relationships/hyperlink" Target="https://groupeseb.com/" TargetMode="External"/><Relationship Id="rId39" Type="http://schemas.openxmlformats.org/officeDocument/2006/relationships/hyperlink" Target="https://chillsim.net/" TargetMode="External"/><Relationship Id="rId40" Type="http://schemas.openxmlformats.org/officeDocument/2006/relationships/hyperlink" Target="https://mediheal.com/" TargetMode="External"/><Relationship Id="rId41" Type="http://schemas.openxmlformats.org/officeDocument/2006/relationships/hyperlink" Target="https://damm.com/" TargetMode="External"/><Relationship Id="rId42" Type="http://schemas.openxmlformats.org/officeDocument/2006/relationships/hyperlink" Target="https://drjart.com/" TargetMode="External"/><Relationship Id="rId43" Type="http://schemas.openxmlformats.org/officeDocument/2006/relationships/hyperlink" Target="https://team-sport.com/" TargetMode="External"/><Relationship Id="rId44" Type="http://schemas.openxmlformats.org/officeDocument/2006/relationships/hyperlink" Target="https://vioratest.com/" TargetMode="External"/><Relationship Id="rId45" Type="http://schemas.openxmlformats.org/officeDocument/2006/relationships/hyperlink" Target="https://studiomosaicapps.com/" TargetMode="External"/><Relationship Id="rId46" Type="http://schemas.openxmlformats.org/officeDocument/2006/relationships/hyperlink" Target="https://skylum.com/" TargetMode="External"/><Relationship Id="rId47" Type="http://schemas.openxmlformats.org/officeDocument/2006/relationships/hyperlink" Target="https://curias.io/" TargetMode="External"/><Relationship Id="rId48" Type="http://schemas.openxmlformats.org/officeDocument/2006/relationships/hyperlink" Target="https://medtrition.com/" TargetMode="External"/><Relationship Id="rId49" Type="http://schemas.openxmlformats.org/officeDocument/2006/relationships/hyperlink" Target="https://nnespana.es/" TargetMode="External"/><Relationship Id="rId50" Type="http://schemas.openxmlformats.org/officeDocument/2006/relationships/hyperlink" Target="https://iworldus.com/" TargetMode="External"/><Relationship Id="rId51" Type="http://schemas.openxmlformats.org/officeDocument/2006/relationships/hyperlink" Target="https://riviera-dazur.com/" TargetMode="External"/><Relationship Id="rId52" Type="http://schemas.openxmlformats.org/officeDocument/2006/relationships/hyperlink" Target="https://mbchicken.co.uk/" TargetMode="External"/><Relationship Id="rId53" Type="http://schemas.openxmlformats.org/officeDocument/2006/relationships/hyperlink" Target="https://i-ne.co.jp/" TargetMode="External"/><Relationship Id="rId54" Type="http://schemas.openxmlformats.org/officeDocument/2006/relationships/hyperlink" Target="https://kenvue.com/" TargetMode="External"/><Relationship Id="rId55" Type="http://schemas.openxmlformats.org/officeDocument/2006/relationships/hyperlink" Target="https://gopro.com/" TargetMode="External"/><Relationship Id="rId56" Type="http://schemas.openxmlformats.org/officeDocument/2006/relationships/hyperlink" Target="https://kioland.co.kr/" TargetMode="External"/><Relationship Id="rId57" Type="http://schemas.openxmlformats.org/officeDocument/2006/relationships/hyperlink" Target="https://thepicton.com/" TargetMode="External"/><Relationship Id="rId58" Type="http://schemas.openxmlformats.org/officeDocument/2006/relationships/hyperlink" Target="https://pg.com/" TargetMode="External"/><Relationship Id="rId59" Type="http://schemas.openxmlformats.org/officeDocument/2006/relationships/hyperlink" Target="https://avatrade.com/" TargetMode="External"/><Relationship Id="rId60" Type="http://schemas.openxmlformats.org/officeDocument/2006/relationships/hyperlink" Target="https://firerock.sg/" TargetMode="External"/><Relationship Id="rId61" Type="http://schemas.openxmlformats.org/officeDocument/2006/relationships/hyperlink" Target="https://norwegianlog.co.uk/" TargetMode="External"/><Relationship Id="rId62" Type="http://schemas.openxmlformats.org/officeDocument/2006/relationships/hyperlink" Target="https://fitnessfirst.com/" TargetMode="External"/><Relationship Id="rId63" Type="http://schemas.openxmlformats.org/officeDocument/2006/relationships/hyperlink" Target="https://111skin.com/" TargetMode="External"/><Relationship Id="rId64" Type="http://schemas.openxmlformats.org/officeDocument/2006/relationships/hyperlink" Target="https://paddywax.com/" TargetMode="External"/><Relationship Id="rId65" Type="http://schemas.openxmlformats.org/officeDocument/2006/relationships/hyperlink" Target="https://whitecapsfc.com/" TargetMode="External"/><Relationship Id="rId66" Type="http://schemas.openxmlformats.org/officeDocument/2006/relationships/hyperlink" Target="https://aviagames.com/" TargetMode="External"/><Relationship Id="rId67" Type="http://schemas.openxmlformats.org/officeDocument/2006/relationships/hyperlink" Target="https://tfit.co.kr/" TargetMode="External"/><Relationship Id="rId68" Type="http://schemas.openxmlformats.org/officeDocument/2006/relationships/hyperlink" Target="https://redweek.com/" TargetMode="External"/><Relationship Id="rId69" Type="http://schemas.openxmlformats.org/officeDocument/2006/relationships/hyperlink" Target="https://myntro.com/" TargetMode="External"/><Relationship Id="rId70" Type="http://schemas.openxmlformats.org/officeDocument/2006/relationships/hyperlink" Target="https://trip.com/" TargetMode="External"/><Relationship Id="rId71" Type="http://schemas.openxmlformats.org/officeDocument/2006/relationships/hyperlink" Target="https://aldermore.co.uk/" TargetMode="External"/><Relationship Id="rId72" Type="http://schemas.openxmlformats.org/officeDocument/2006/relationships/hyperlink" Target="https://bnckorea.co.kr/" TargetMode="External"/><Relationship Id="rId73" Type="http://schemas.openxmlformats.org/officeDocument/2006/relationships/hyperlink" Target="https://pacsen.net/" TargetMode="External"/><Relationship Id="rId74" Type="http://schemas.openxmlformats.org/officeDocument/2006/relationships/hyperlink" Target="https://cornbreadhemp.com/" TargetMode="External"/><Relationship Id="rId75" Type="http://schemas.openxmlformats.org/officeDocument/2006/relationships/hyperlink" Target="https://wednesdaywaffles.com/" TargetMode="External"/><Relationship Id="rId76" Type="http://schemas.openxmlformats.org/officeDocument/2006/relationships/hyperlink" Target="https://kotra.or.kr/" TargetMode="External"/><Relationship Id="rId77" Type="http://schemas.openxmlformats.org/officeDocument/2006/relationships/hyperlink" Target="https://merrell.com/" TargetMode="External"/><Relationship Id="rId78" Type="http://schemas.openxmlformats.org/officeDocument/2006/relationships/hyperlink" Target="https://starcobrands.com/" TargetMode="External"/><Relationship Id="rId79" Type="http://schemas.openxmlformats.org/officeDocument/2006/relationships/hyperlink" Target="https://bcfc.com/" TargetMode="External"/><Relationship Id="rId80" Type="http://schemas.openxmlformats.org/officeDocument/2006/relationships/hyperlink" Target="https://gsma.com/" TargetMode="External"/><Relationship Id="rId81" Type="http://schemas.openxmlformats.org/officeDocument/2006/relationships/hyperlink" Target="https://loreal.com/" TargetMode="External"/><Relationship Id="rId82" Type="http://schemas.openxmlformats.org/officeDocument/2006/relationships/hyperlink" Target="https://entermaya.com/" TargetMode="External"/><Relationship Id="rId83" Type="http://schemas.openxmlformats.org/officeDocument/2006/relationships/hyperlink" Target="https://olymptrade.com/" TargetMode="External"/><Relationship Id="rId84" Type="http://schemas.openxmlformats.org/officeDocument/2006/relationships/hyperlink" Target="https://scrubdaddy.eu/" TargetMode="External"/><Relationship Id="rId85" Type="http://schemas.openxmlformats.org/officeDocument/2006/relationships/hyperlink" Target="https://cosrx.com/" TargetMode="External"/><Relationship Id="rId86" Type="http://schemas.openxmlformats.org/officeDocument/2006/relationships/hyperlink" Target="https://grupobimbo.com/" TargetMode="External"/><Relationship Id="rId87" Type="http://schemas.openxmlformats.org/officeDocument/2006/relationships/hyperlink" Target="https://atlascapture.io/" TargetMode="External"/><Relationship Id="rId88" Type="http://schemas.openxmlformats.org/officeDocument/2006/relationships/hyperlink" Target="https://sweatcheck.fit/" TargetMode="External"/><Relationship Id="rId89" Type="http://schemas.openxmlformats.org/officeDocument/2006/relationships/hyperlink" Target="https://wati.io/" TargetMode="External"/><Relationship Id="rId90" Type="http://schemas.openxmlformats.org/officeDocument/2006/relationships/hyperlink" Target="https://cetaphil.com/" TargetMode="External"/><Relationship Id="rId91" Type="http://schemas.openxmlformats.org/officeDocument/2006/relationships/hyperlink" Target="https://mtch.com/" TargetMode="External"/><Relationship Id="rId92" Type="http://schemas.openxmlformats.org/officeDocument/2006/relationships/hyperlink" Target="https://isehan.co.jp/" TargetMode="External"/><Relationship Id="rId93" Type="http://schemas.openxmlformats.org/officeDocument/2006/relationships/hyperlink" Target="https://expediagroup.com/" TargetMode="External"/><Relationship Id="rId94" Type="http://schemas.openxmlformats.org/officeDocument/2006/relationships/hyperlink" Target="https://heytea.com/" TargetMode="External"/><Relationship Id="rId95" Type="http://schemas.openxmlformats.org/officeDocument/2006/relationships/hyperlink" Target="https://happn.com/" TargetMode="External"/><Relationship Id="rId96" Type="http://schemas.openxmlformats.org/officeDocument/2006/relationships/hyperlink" Target="https://fatbastardburrito.ca/" TargetMode="External"/><Relationship Id="rId97" Type="http://schemas.openxmlformats.org/officeDocument/2006/relationships/hyperlink" Target="https://vinted.com/" TargetMode="External"/><Relationship Id="rId98" Type="http://schemas.openxmlformats.org/officeDocument/2006/relationships/hyperlink" Target="https://nva.com/" TargetMode="External"/><Relationship Id="rId99" Type="http://schemas.openxmlformats.org/officeDocument/2006/relationships/hyperlink" Target="https://hapimag.com/" TargetMode="External"/><Relationship Id="rId100" Type="http://schemas.openxmlformats.org/officeDocument/2006/relationships/hyperlink" Target="https://twopoles.co/" TargetMode="External"/><Relationship Id="rId10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E4392"/>
    <pageSetUpPr fitToPage="true"/>
  </sheetPr>
  <dimension ref="B1:K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3"/>
    <col collapsed="false" customWidth="true" hidden="false" outlineLevel="0" max="8" min="8" style="0" width="24"/>
    <col collapsed="false" customWidth="true" hidden="false" outlineLevel="0" max="9" min="9" style="0" width="9"/>
    <col collapsed="false" customWidth="true" hidden="false" outlineLevel="0" max="11" min="10" style="0" width="15"/>
  </cols>
  <sheetData>
    <row r="1" customFormat="false" ht="36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tr">
        <f aca="false">"All open deals as of "&amp;TEXT(Settings!B3,"dd mmm yyyy")&amp;"  |  values in GBP"</f>
        <v>All open deals as of 17 Sep 2026  |  values in GBP</v>
      </c>
    </row>
    <row r="4" customFormat="false" ht="21.75" hidden="false" customHeight="true" outlineLevel="0" collapsed="false">
      <c r="B4" s="3" t="s">
        <v>1</v>
      </c>
      <c r="C4" s="3"/>
      <c r="D4" s="4" t="s">
        <v>2</v>
      </c>
      <c r="E4" s="4"/>
      <c r="F4" s="4"/>
      <c r="H4" s="5" t="s">
        <v>3</v>
      </c>
      <c r="I4" s="5"/>
      <c r="J4" s="6" t="s">
        <v>4</v>
      </c>
      <c r="K4" s="6"/>
    </row>
    <row r="5" customFormat="false" ht="42" hidden="false" customHeight="true" outlineLevel="0" collapsed="false">
      <c r="B5" s="7" t="n">
        <f aca="false">COUNTA('Open Deals'!$B$2:$B$130)</f>
        <v>129</v>
      </c>
      <c r="C5" s="7"/>
      <c r="D5" s="8" t="n">
        <f aca="false">SUM('Open Deals'!$I$2:$I$130)</f>
        <v>7430747</v>
      </c>
      <c r="E5" s="8"/>
      <c r="F5" s="8"/>
      <c r="H5" s="9" t="n">
        <f aca="false">SUM('Open Deals'!$K$2:$K$130)</f>
        <v>4352051.65</v>
      </c>
      <c r="I5" s="9"/>
      <c r="J5" s="10" t="n">
        <f aca="false">SUMIF('Open Deals'!$E$2:$E$130,"New business",'Open Deals'!$I$2:$I$130)</f>
        <v>2955200</v>
      </c>
      <c r="K5" s="10"/>
    </row>
    <row r="8" customFormat="false" ht="16.15" hidden="false" customHeight="false" outlineLevel="0" collapsed="false">
      <c r="B8" s="11" t="s">
        <v>5</v>
      </c>
      <c r="H8" s="11" t="s">
        <v>6</v>
      </c>
    </row>
    <row r="9" customFormat="false" ht="30" hidden="false" customHeight="true" outlineLevel="0" collapsed="false">
      <c r="B9" s="12" t="s">
        <v>7</v>
      </c>
      <c r="C9" s="12" t="s">
        <v>8</v>
      </c>
      <c r="D9" s="12" t="s">
        <v>9</v>
      </c>
      <c r="E9" s="12" t="s">
        <v>10</v>
      </c>
      <c r="F9" s="12" t="s">
        <v>11</v>
      </c>
      <c r="H9" s="12" t="s">
        <v>12</v>
      </c>
      <c r="I9" s="12" t="s">
        <v>8</v>
      </c>
      <c r="J9" s="12" t="s">
        <v>10</v>
      </c>
      <c r="K9" s="12" t="s">
        <v>11</v>
      </c>
    </row>
    <row r="10" customFormat="false" ht="15" hidden="false" customHeight="false" outlineLevel="0" collapsed="false">
      <c r="B10" s="13" t="s">
        <v>13</v>
      </c>
      <c r="C10" s="14" t="n">
        <f aca="false">COUNTIF('Open Deals'!$F$2:$F$130,B10)</f>
        <v>33</v>
      </c>
      <c r="D10" s="15" t="n">
        <f aca="false">INDEX(Settings!$C$11:$C$16,MATCH(B10,Settings!$A$11:$A$16,0))</f>
        <v>0.45</v>
      </c>
      <c r="E10" s="16" t="n">
        <f aca="false">SUMIF('Open Deals'!$F$2:$F$130,B10,'Open Deals'!$I$2:$I$130)</f>
        <v>1586687</v>
      </c>
      <c r="F10" s="16" t="n">
        <f aca="false">SUMIF('Open Deals'!$F$2:$F$130,B10,'Open Deals'!$K$2:$K$130)</f>
        <v>714009.15</v>
      </c>
      <c r="H10" s="13" t="s">
        <v>14</v>
      </c>
      <c r="I10" s="14" t="n">
        <f aca="false">COUNTIF('Open Deals'!$C$2:$C$130,H10)</f>
        <v>50</v>
      </c>
      <c r="J10" s="16" t="n">
        <f aca="false">SUMIF('Open Deals'!$C$2:$C$130,H10,'Open Deals'!$I$2:$I$130)</f>
        <v>3332010</v>
      </c>
      <c r="K10" s="16" t="n">
        <f aca="false">SUMIF('Open Deals'!$C$2:$C$130,H10,'Open Deals'!$K$2:$K$130)</f>
        <v>1918792.5</v>
      </c>
    </row>
    <row r="11" customFormat="false" ht="15" hidden="false" customHeight="false" outlineLevel="0" collapsed="false">
      <c r="B11" s="17" t="s">
        <v>15</v>
      </c>
      <c r="C11" s="18" t="n">
        <f aca="false">COUNTIF('Open Deals'!$F$2:$F$130,B11)</f>
        <v>21</v>
      </c>
      <c r="D11" s="19" t="n">
        <f aca="false">INDEX(Settings!$C$11:$C$16,MATCH(B11,Settings!$A$11:$A$16,0))</f>
        <v>0.5</v>
      </c>
      <c r="E11" s="20" t="n">
        <f aca="false">SUMIF('Open Deals'!$F$2:$F$130,B11,'Open Deals'!$I$2:$I$130)</f>
        <v>1409150</v>
      </c>
      <c r="F11" s="20" t="n">
        <f aca="false">SUMIF('Open Deals'!$F$2:$F$130,B11,'Open Deals'!$K$2:$K$130)</f>
        <v>704575</v>
      </c>
      <c r="H11" s="17" t="s">
        <v>16</v>
      </c>
      <c r="I11" s="18" t="n">
        <f aca="false">COUNTIF('Open Deals'!$C$2:$C$130,H11)</f>
        <v>40</v>
      </c>
      <c r="J11" s="20" t="n">
        <f aca="false">SUMIF('Open Deals'!$C$2:$C$130,H11,'Open Deals'!$I$2:$I$130)</f>
        <v>2249937</v>
      </c>
      <c r="K11" s="20" t="n">
        <f aca="false">SUMIF('Open Deals'!$C$2:$C$130,H11,'Open Deals'!$K$2:$K$130)</f>
        <v>1242859.15</v>
      </c>
    </row>
    <row r="12" customFormat="false" ht="15" hidden="false" customHeight="false" outlineLevel="0" collapsed="false">
      <c r="B12" s="13" t="s">
        <v>17</v>
      </c>
      <c r="C12" s="14" t="n">
        <f aca="false">COUNTIF('Open Deals'!$F$2:$F$130,B12)</f>
        <v>12</v>
      </c>
      <c r="D12" s="15" t="n">
        <f aca="false">INDEX(Settings!$C$11:$C$16,MATCH(B12,Settings!$A$11:$A$16,0))</f>
        <v>0.55</v>
      </c>
      <c r="E12" s="16" t="n">
        <f aca="false">SUMIF('Open Deals'!$F$2:$F$130,B12,'Open Deals'!$I$2:$I$130)</f>
        <v>991590</v>
      </c>
      <c r="F12" s="16" t="n">
        <f aca="false">SUMIF('Open Deals'!$F$2:$F$130,B12,'Open Deals'!$K$2:$K$130)</f>
        <v>545374.5</v>
      </c>
      <c r="H12" s="13" t="s">
        <v>18</v>
      </c>
      <c r="I12" s="14" t="n">
        <f aca="false">COUNTIF('Open Deals'!$C$2:$C$130,H12)</f>
        <v>39</v>
      </c>
      <c r="J12" s="16" t="n">
        <f aca="false">SUMIF('Open Deals'!$C$2:$C$130,H12,'Open Deals'!$I$2:$I$130)</f>
        <v>1848800</v>
      </c>
      <c r="K12" s="16" t="n">
        <f aca="false">SUMIF('Open Deals'!$C$2:$C$130,H12,'Open Deals'!$K$2:$K$130)</f>
        <v>1190400</v>
      </c>
    </row>
    <row r="13" customFormat="false" ht="15" hidden="false" customHeight="false" outlineLevel="0" collapsed="false">
      <c r="B13" s="17" t="s">
        <v>19</v>
      </c>
      <c r="C13" s="18" t="n">
        <f aca="false">COUNTIF('Open Deals'!$F$2:$F$130,B13)</f>
        <v>28</v>
      </c>
      <c r="D13" s="19" t="n">
        <f aca="false">INDEX(Settings!$C$11:$C$16,MATCH(B13,Settings!$A$11:$A$16,0))</f>
        <v>0.6</v>
      </c>
      <c r="E13" s="20" t="n">
        <f aca="false">SUMIF('Open Deals'!$F$2:$F$130,B13,'Open Deals'!$I$2:$I$130)</f>
        <v>1803900</v>
      </c>
      <c r="F13" s="20" t="n">
        <f aca="false">SUMIF('Open Deals'!$F$2:$F$130,B13,'Open Deals'!$K$2:$K$130)</f>
        <v>1082340</v>
      </c>
      <c r="H13" s="21" t="s">
        <v>20</v>
      </c>
      <c r="I13" s="22" t="n">
        <f aca="false">SUM(I10:I12)</f>
        <v>129</v>
      </c>
      <c r="J13" s="23" t="n">
        <f aca="false">SUM(J10:J12)</f>
        <v>7430747</v>
      </c>
      <c r="K13" s="23" t="n">
        <f aca="false">SUM(K10:K12)</f>
        <v>4352051.65</v>
      </c>
    </row>
    <row r="14" customFormat="false" ht="15" hidden="false" customHeight="false" outlineLevel="0" collapsed="false">
      <c r="B14" s="13" t="s">
        <v>21</v>
      </c>
      <c r="C14" s="14" t="n">
        <f aca="false">COUNTIF('Open Deals'!$F$2:$F$130,B14)</f>
        <v>23</v>
      </c>
      <c r="D14" s="15" t="n">
        <f aca="false">INDEX(Settings!$C$11:$C$16,MATCH(B14,Settings!$A$11:$A$16,0))</f>
        <v>0.75</v>
      </c>
      <c r="E14" s="16" t="n">
        <f aca="false">SUMIF('Open Deals'!$F$2:$F$130,B14,'Open Deals'!$I$2:$I$130)</f>
        <v>877540</v>
      </c>
      <c r="F14" s="16" t="n">
        <f aca="false">SUMIF('Open Deals'!$F$2:$F$130,B14,'Open Deals'!$K$2:$K$130)</f>
        <v>658155</v>
      </c>
    </row>
    <row r="15" customFormat="false" ht="15" hidden="false" customHeight="false" outlineLevel="0" collapsed="false">
      <c r="B15" s="17" t="s">
        <v>22</v>
      </c>
      <c r="C15" s="18" t="n">
        <f aca="false">COUNTIF('Open Deals'!$F$2:$F$130,B15)</f>
        <v>12</v>
      </c>
      <c r="D15" s="19" t="n">
        <f aca="false">INDEX(Settings!$C$11:$C$16,MATCH(B15,Settings!$A$11:$A$16,0))</f>
        <v>0.85</v>
      </c>
      <c r="E15" s="20" t="n">
        <f aca="false">SUMIF('Open Deals'!$F$2:$F$130,B15,'Open Deals'!$I$2:$I$130)</f>
        <v>761880</v>
      </c>
      <c r="F15" s="20" t="n">
        <f aca="false">SUMIF('Open Deals'!$F$2:$F$130,B15,'Open Deals'!$K$2:$K$130)</f>
        <v>647598</v>
      </c>
    </row>
    <row r="16" customFormat="false" ht="15" hidden="false" customHeight="false" outlineLevel="0" collapsed="false">
      <c r="B16" s="21" t="s">
        <v>20</v>
      </c>
      <c r="C16" s="22" t="n">
        <f aca="false">SUM(C10:C15)</f>
        <v>129</v>
      </c>
      <c r="D16" s="24" t="n">
        <f aca="false">IF(E16=0,0,F16/E16)</f>
        <v>0.585681580869326</v>
      </c>
      <c r="E16" s="23" t="n">
        <f aca="false">SUM(E10:E15)</f>
        <v>7430747</v>
      </c>
      <c r="F16" s="23" t="n">
        <f aca="false">SUM(F10:F15)</f>
        <v>4352051.65</v>
      </c>
    </row>
    <row r="19" customFormat="false" ht="16.15" hidden="false" customHeight="false" outlineLevel="0" collapsed="false">
      <c r="B19" s="11" t="s">
        <v>23</v>
      </c>
      <c r="H19" s="11" t="s">
        <v>24</v>
      </c>
    </row>
    <row r="20" customFormat="false" ht="30" hidden="false" customHeight="true" outlineLevel="0" collapsed="false">
      <c r="B20" s="12" t="s">
        <v>25</v>
      </c>
      <c r="C20" s="12" t="s">
        <v>8</v>
      </c>
      <c r="D20" s="12" t="s">
        <v>10</v>
      </c>
      <c r="E20" s="12" t="s">
        <v>11</v>
      </c>
      <c r="H20" s="12" t="s">
        <v>26</v>
      </c>
      <c r="I20" s="12" t="s">
        <v>8</v>
      </c>
      <c r="J20" s="12" t="s">
        <v>10</v>
      </c>
      <c r="K20" s="12" t="s">
        <v>11</v>
      </c>
    </row>
    <row r="21" customFormat="false" ht="15" hidden="false" customHeight="false" outlineLevel="0" collapsed="false">
      <c r="B21" s="17" t="s">
        <v>27</v>
      </c>
      <c r="C21" s="18" t="n">
        <f aca="false">COUNTIF('Open Deals'!$D$2:$D$130,B21)</f>
        <v>16</v>
      </c>
      <c r="D21" s="20" t="n">
        <f aca="false">SUMIF('Open Deals'!$D$2:$D$130,B21,'Open Deals'!$I$2:$I$130)</f>
        <v>998910</v>
      </c>
      <c r="E21" s="20" t="n">
        <f aca="false">SUMIF('Open Deals'!$D$2:$D$130,B21,'Open Deals'!$K$2:$K$130)</f>
        <v>588396.5</v>
      </c>
      <c r="H21" s="17" t="s">
        <v>28</v>
      </c>
      <c r="I21" s="18" t="n">
        <f aca="false">COUNTIF('Open Deals'!$P$2:$P$130,H21)</f>
        <v>43</v>
      </c>
      <c r="J21" s="20" t="n">
        <f aca="false">SUMIF('Open Deals'!$P$2:$P$130,H21,'Open Deals'!$I$2:$I$130)</f>
        <v>2165160</v>
      </c>
      <c r="K21" s="20" t="n">
        <f aca="false">SUMIF('Open Deals'!$P$2:$P$130,H21,'Open Deals'!$K$2:$K$130)</f>
        <v>1314135</v>
      </c>
    </row>
    <row r="22" customFormat="false" ht="15" hidden="false" customHeight="false" outlineLevel="0" collapsed="false">
      <c r="B22" s="13" t="s">
        <v>29</v>
      </c>
      <c r="C22" s="14" t="n">
        <f aca="false">COUNTIF('Open Deals'!$D$2:$D$130,B22)</f>
        <v>10</v>
      </c>
      <c r="D22" s="16" t="n">
        <f aca="false">SUMIF('Open Deals'!$D$2:$D$130,B22,'Open Deals'!$I$2:$I$130)</f>
        <v>923440</v>
      </c>
      <c r="E22" s="16" t="n">
        <f aca="false">SUMIF('Open Deals'!$D$2:$D$130,B22,'Open Deals'!$K$2:$K$130)</f>
        <v>534010</v>
      </c>
      <c r="H22" s="13" t="s">
        <v>30</v>
      </c>
      <c r="I22" s="14" t="n">
        <f aca="false">COUNTIF('Open Deals'!$P$2:$P$130,H22)</f>
        <v>29</v>
      </c>
      <c r="J22" s="16" t="n">
        <f aca="false">SUMIF('Open Deals'!$P$2:$P$130,H22,'Open Deals'!$I$2:$I$130)</f>
        <v>1784700</v>
      </c>
      <c r="K22" s="16" t="n">
        <f aca="false">SUMIF('Open Deals'!$P$2:$P$130,H22,'Open Deals'!$K$2:$K$130)</f>
        <v>1102530</v>
      </c>
    </row>
    <row r="23" customFormat="false" ht="15" hidden="false" customHeight="false" outlineLevel="0" collapsed="false">
      <c r="B23" s="17" t="s">
        <v>31</v>
      </c>
      <c r="C23" s="18" t="n">
        <f aca="false">COUNTIF('Open Deals'!$D$2:$D$130,B23)</f>
        <v>14</v>
      </c>
      <c r="D23" s="20" t="n">
        <f aca="false">SUMIF('Open Deals'!$D$2:$D$130,B23,'Open Deals'!$I$2:$I$130)</f>
        <v>885037</v>
      </c>
      <c r="E23" s="20" t="n">
        <f aca="false">SUMIF('Open Deals'!$D$2:$D$130,B23,'Open Deals'!$K$2:$K$130)</f>
        <v>558986.65</v>
      </c>
      <c r="H23" s="17" t="s">
        <v>32</v>
      </c>
      <c r="I23" s="18" t="n">
        <f aca="false">COUNTIF('Open Deals'!$P$2:$P$130,H23)</f>
        <v>13</v>
      </c>
      <c r="J23" s="20" t="n">
        <f aca="false">SUMIF('Open Deals'!$P$2:$P$130,H23,'Open Deals'!$I$2:$I$130)</f>
        <v>926087</v>
      </c>
      <c r="K23" s="20" t="n">
        <f aca="false">SUMIF('Open Deals'!$P$2:$P$130,H23,'Open Deals'!$K$2:$K$130)</f>
        <v>521221.65</v>
      </c>
    </row>
    <row r="24" customFormat="false" ht="15" hidden="false" customHeight="false" outlineLevel="0" collapsed="false">
      <c r="B24" s="13" t="s">
        <v>33</v>
      </c>
      <c r="C24" s="14" t="n">
        <f aca="false">COUNTIF('Open Deals'!$D$2:$D$130,B24)</f>
        <v>11</v>
      </c>
      <c r="D24" s="16" t="n">
        <f aca="false">SUMIF('Open Deals'!$D$2:$D$130,B24,'Open Deals'!$I$2:$I$130)</f>
        <v>555600</v>
      </c>
      <c r="E24" s="16" t="n">
        <f aca="false">SUMIF('Open Deals'!$D$2:$D$130,B24,'Open Deals'!$K$2:$K$130)</f>
        <v>331365</v>
      </c>
      <c r="H24" s="13" t="s">
        <v>34</v>
      </c>
      <c r="I24" s="14" t="n">
        <f aca="false">COUNTIF('Open Deals'!$P$2:$P$130,H24)</f>
        <v>1</v>
      </c>
      <c r="J24" s="16" t="n">
        <f aca="false">SUMIF('Open Deals'!$P$2:$P$130,H24,'Open Deals'!$I$2:$I$130)</f>
        <v>740000</v>
      </c>
      <c r="K24" s="16" t="n">
        <f aca="false">SUMIF('Open Deals'!$P$2:$P$130,H24,'Open Deals'!$K$2:$K$130)</f>
        <v>370000</v>
      </c>
    </row>
    <row r="25" customFormat="false" ht="15" hidden="false" customHeight="false" outlineLevel="0" collapsed="false">
      <c r="B25" s="17" t="s">
        <v>35</v>
      </c>
      <c r="C25" s="18" t="n">
        <f aca="false">COUNTIF('Open Deals'!$D$2:$D$130,B25)</f>
        <v>6</v>
      </c>
      <c r="D25" s="20" t="n">
        <f aca="false">SUMIF('Open Deals'!$D$2:$D$130,B25,'Open Deals'!$I$2:$I$130)</f>
        <v>281750</v>
      </c>
      <c r="E25" s="20" t="n">
        <f aca="false">SUMIF('Open Deals'!$D$2:$D$130,B25,'Open Deals'!$K$2:$K$130)</f>
        <v>161887.5</v>
      </c>
      <c r="H25" s="17" t="s">
        <v>36</v>
      </c>
      <c r="I25" s="18" t="n">
        <f aca="false">COUNTIF('Open Deals'!$P$2:$P$130,H25)</f>
        <v>9</v>
      </c>
      <c r="J25" s="20" t="n">
        <f aca="false">SUMIF('Open Deals'!$P$2:$P$130,H25,'Open Deals'!$I$2:$I$130)</f>
        <v>403500</v>
      </c>
      <c r="K25" s="20" t="n">
        <f aca="false">SUMIF('Open Deals'!$P$2:$P$130,H25,'Open Deals'!$K$2:$K$130)</f>
        <v>246170</v>
      </c>
    </row>
    <row r="26" customFormat="false" ht="15" hidden="false" customHeight="false" outlineLevel="0" collapsed="false">
      <c r="B26" s="13" t="s">
        <v>37</v>
      </c>
      <c r="C26" s="14" t="n">
        <f aca="false">COUNTIF('Open Deals'!$D$2:$D$130,B26)</f>
        <v>2</v>
      </c>
      <c r="D26" s="16" t="n">
        <f aca="false">SUMIF('Open Deals'!$D$2:$D$130,B26,'Open Deals'!$I$2:$I$130)</f>
        <v>51800</v>
      </c>
      <c r="E26" s="16" t="n">
        <f aca="false">SUMIF('Open Deals'!$D$2:$D$130,B26,'Open Deals'!$K$2:$K$130)</f>
        <v>29970</v>
      </c>
      <c r="H26" s="13" t="s">
        <v>38</v>
      </c>
      <c r="I26" s="14" t="n">
        <f aca="false">COUNTIF('Open Deals'!$P$2:$P$130,H26)</f>
        <v>8</v>
      </c>
      <c r="J26" s="16" t="n">
        <f aca="false">SUMIF('Open Deals'!$P$2:$P$130,H26,'Open Deals'!$I$2:$I$130)</f>
        <v>361800</v>
      </c>
      <c r="K26" s="16" t="n">
        <f aca="false">SUMIF('Open Deals'!$P$2:$P$130,H26,'Open Deals'!$K$2:$K$130)</f>
        <v>218440</v>
      </c>
    </row>
    <row r="27" customFormat="false" ht="15" hidden="false" customHeight="false" outlineLevel="0" collapsed="false">
      <c r="B27" s="21" t="s">
        <v>20</v>
      </c>
      <c r="C27" s="22" t="n">
        <f aca="false">SUM(C21:C26)</f>
        <v>59</v>
      </c>
      <c r="D27" s="23" t="n">
        <f aca="false">SUM(D21:D26)</f>
        <v>3696537</v>
      </c>
      <c r="E27" s="23" t="n">
        <f aca="false">SUM(E21:E26)</f>
        <v>2204615.65</v>
      </c>
      <c r="H27" s="17" t="s">
        <v>39</v>
      </c>
      <c r="I27" s="18" t="n">
        <f aca="false">COUNTIF('Open Deals'!$P$2:$P$130,H27)</f>
        <v>6</v>
      </c>
      <c r="J27" s="20" t="n">
        <f aca="false">SUMIF('Open Deals'!$P$2:$P$130,H27,'Open Deals'!$I$2:$I$130)</f>
        <v>264600</v>
      </c>
      <c r="K27" s="20" t="n">
        <f aca="false">SUMIF('Open Deals'!$P$2:$P$130,H27,'Open Deals'!$K$2:$K$130)</f>
        <v>133780</v>
      </c>
    </row>
    <row r="28" customFormat="false" ht="15" hidden="false" customHeight="false" outlineLevel="0" collapsed="false">
      <c r="H28" s="13" t="s">
        <v>40</v>
      </c>
      <c r="I28" s="14" t="n">
        <f aca="false">COUNTIF('Open Deals'!$P$2:$P$130,H28)</f>
        <v>6</v>
      </c>
      <c r="J28" s="16" t="n">
        <f aca="false">SUMIF('Open Deals'!$P$2:$P$130,H28,'Open Deals'!$I$2:$I$130)</f>
        <v>261100</v>
      </c>
      <c r="K28" s="16" t="n">
        <f aca="false">SUMIF('Open Deals'!$P$2:$P$130,H28,'Open Deals'!$K$2:$K$130)</f>
        <v>162485</v>
      </c>
    </row>
    <row r="29" customFormat="false" ht="15" hidden="false" customHeight="false" outlineLevel="0" collapsed="false">
      <c r="H29" s="17" t="s">
        <v>41</v>
      </c>
      <c r="I29" s="18" t="n">
        <f aca="false">COUNTIF('Open Deals'!$P$2:$P$130,H29)</f>
        <v>5</v>
      </c>
      <c r="J29" s="20" t="n">
        <f aca="false">SUMIF('Open Deals'!$P$2:$P$130,H29,'Open Deals'!$I$2:$I$130)</f>
        <v>248400</v>
      </c>
      <c r="K29" s="20" t="n">
        <f aca="false">SUMIF('Open Deals'!$P$2:$P$130,H29,'Open Deals'!$K$2:$K$130)</f>
        <v>142710</v>
      </c>
    </row>
    <row r="30" customFormat="false" ht="15" hidden="false" customHeight="false" outlineLevel="0" collapsed="false">
      <c r="H30" s="13" t="s">
        <v>42</v>
      </c>
      <c r="I30" s="14" t="n">
        <f aca="false">COUNTIF('Open Deals'!$P$2:$P$130,H30)</f>
        <v>4</v>
      </c>
      <c r="J30" s="16" t="n">
        <f aca="false">SUMIF('Open Deals'!$P$2:$P$130,H30,'Open Deals'!$I$2:$I$130)</f>
        <v>127000</v>
      </c>
      <c r="K30" s="16" t="n">
        <f aca="false">SUMIF('Open Deals'!$P$2:$P$130,H30,'Open Deals'!$K$2:$K$130)</f>
        <v>60480</v>
      </c>
    </row>
    <row r="31" customFormat="false" ht="15" hidden="false" customHeight="false" outlineLevel="0" collapsed="false">
      <c r="H31" s="17" t="s">
        <v>43</v>
      </c>
      <c r="I31" s="18" t="n">
        <f aca="false">COUNTIF('Open Deals'!$P$2:$P$130,H31)</f>
        <v>2</v>
      </c>
      <c r="J31" s="20" t="n">
        <f aca="false">SUMIF('Open Deals'!$P$2:$P$130,H31,'Open Deals'!$I$2:$I$130)</f>
        <v>37000</v>
      </c>
      <c r="K31" s="20" t="n">
        <f aca="false">SUMIF('Open Deals'!$P$2:$P$130,H31,'Open Deals'!$K$2:$K$130)</f>
        <v>16650</v>
      </c>
    </row>
    <row r="32" customFormat="false" ht="15" hidden="false" customHeight="false" outlineLevel="0" collapsed="false">
      <c r="H32" s="21" t="s">
        <v>20</v>
      </c>
      <c r="I32" s="22" t="n">
        <f aca="false">SUM(I21:I31)</f>
        <v>126</v>
      </c>
      <c r="J32" s="23" t="n">
        <f aca="false">SUM(J21:J31)</f>
        <v>7319347</v>
      </c>
      <c r="K32" s="23" t="n">
        <f aca="false">SUM(K21:K31)</f>
        <v>4288601.65</v>
      </c>
    </row>
    <row r="34" customFormat="false" ht="16.15" hidden="false" customHeight="false" outlineLevel="0" collapsed="false">
      <c r="B34" s="11" t="s">
        <v>44</v>
      </c>
    </row>
  </sheetData>
  <mergeCells count="8">
    <mergeCell ref="B4:C4"/>
    <mergeCell ref="D4:F4"/>
    <mergeCell ref="H4:I4"/>
    <mergeCell ref="J4:K4"/>
    <mergeCell ref="B5:C5"/>
    <mergeCell ref="D5:F5"/>
    <mergeCell ref="H5:I5"/>
    <mergeCell ref="J5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0E8D"/>
    <pageSetUpPr fitToPage="true"/>
  </sheetPr>
  <dimension ref="A1:R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2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2" min="11" style="0" width="13"/>
    <col collapsed="false" customWidth="true" hidden="false" outlineLevel="0" max="14" min="13" style="0" width="11"/>
    <col collapsed="false" customWidth="true" hidden="false" outlineLevel="0" max="15" min="15" style="0" width="22"/>
    <col collapsed="false" customWidth="true" hidden="false" outlineLevel="0" max="16" min="16" style="0" width="18"/>
    <col collapsed="false" customWidth="true" hidden="false" outlineLevel="0" max="18" min="17" style="0" width="24"/>
  </cols>
  <sheetData>
    <row r="1" customFormat="false" ht="30" hidden="false" customHeight="true" outlineLevel="0" collapsed="false">
      <c r="A1" s="12" t="s">
        <v>45</v>
      </c>
      <c r="B1" s="12" t="s">
        <v>46</v>
      </c>
      <c r="C1" s="12" t="s">
        <v>12</v>
      </c>
      <c r="D1" s="12" t="s">
        <v>25</v>
      </c>
      <c r="E1" s="12" t="s">
        <v>47</v>
      </c>
      <c r="F1" s="12" t="s">
        <v>7</v>
      </c>
      <c r="G1" s="12" t="s">
        <v>48</v>
      </c>
      <c r="H1" s="12" t="s">
        <v>49</v>
      </c>
      <c r="I1" s="12" t="s">
        <v>10</v>
      </c>
      <c r="J1" s="12" t="s">
        <v>50</v>
      </c>
      <c r="K1" s="12" t="s">
        <v>11</v>
      </c>
      <c r="L1" s="12" t="s">
        <v>51</v>
      </c>
      <c r="M1" s="12" t="s">
        <v>52</v>
      </c>
      <c r="N1" s="12" t="s">
        <v>53</v>
      </c>
      <c r="O1" s="12" t="s">
        <v>54</v>
      </c>
      <c r="P1" s="12" t="s">
        <v>26</v>
      </c>
      <c r="Q1" s="12" t="s">
        <v>55</v>
      </c>
      <c r="R1" s="12" t="s">
        <v>56</v>
      </c>
    </row>
    <row r="2" customFormat="false" ht="15" hidden="false" customHeight="false" outlineLevel="0" collapsed="false">
      <c r="A2" s="25" t="s">
        <v>57</v>
      </c>
      <c r="B2" s="26" t="s">
        <v>58</v>
      </c>
      <c r="C2" s="26" t="s">
        <v>14</v>
      </c>
      <c r="D2" s="26" t="s">
        <v>29</v>
      </c>
      <c r="E2" s="27" t="s">
        <v>59</v>
      </c>
      <c r="F2" s="27" t="s">
        <v>22</v>
      </c>
      <c r="G2" s="28" t="n">
        <v>300000</v>
      </c>
      <c r="H2" s="27" t="s">
        <v>60</v>
      </c>
      <c r="I2" s="29" t="n">
        <f aca="false">G2*INDEX(Settings!$B$6:$B$8,MATCH(H2,Settings!$A$6:$A$8,0))</f>
        <v>222000</v>
      </c>
      <c r="J2" s="30" t="n">
        <f aca="false">INDEX(Settings!$C$11:$C$16,MATCH(F2,Settings!$A$11:$A$16,0))</f>
        <v>0.85</v>
      </c>
      <c r="K2" s="29" t="n">
        <f aca="false">I2*J2</f>
        <v>188700</v>
      </c>
      <c r="L2" s="31" t="n">
        <v>46295</v>
      </c>
      <c r="M2" s="32" t="n">
        <f aca="false">Settings!$B$3-DATE(2026,9,4)</f>
        <v>13</v>
      </c>
      <c r="N2" s="31" t="n">
        <v>46252</v>
      </c>
      <c r="O2" s="26" t="s">
        <v>61</v>
      </c>
      <c r="P2" s="26" t="s">
        <v>30</v>
      </c>
      <c r="Q2" s="26" t="s">
        <v>62</v>
      </c>
      <c r="R2" s="33" t="s">
        <v>63</v>
      </c>
    </row>
    <row r="3" customFormat="false" ht="15" hidden="false" customHeight="false" outlineLevel="0" collapsed="false">
      <c r="A3" s="25" t="s">
        <v>64</v>
      </c>
      <c r="B3" s="26" t="s">
        <v>65</v>
      </c>
      <c r="C3" s="26" t="s">
        <v>18</v>
      </c>
      <c r="D3" s="26" t="s">
        <v>31</v>
      </c>
      <c r="E3" s="27" t="s">
        <v>59</v>
      </c>
      <c r="F3" s="27" t="s">
        <v>22</v>
      </c>
      <c r="G3" s="28" t="n">
        <v>150000</v>
      </c>
      <c r="H3" s="27" t="s">
        <v>60</v>
      </c>
      <c r="I3" s="29" t="n">
        <f aca="false">G3*INDEX(Settings!$B$6:$B$8,MATCH(H3,Settings!$A$6:$A$8,0))</f>
        <v>111000</v>
      </c>
      <c r="J3" s="30" t="n">
        <f aca="false">INDEX(Settings!$C$11:$C$16,MATCH(F3,Settings!$A$11:$A$16,0))</f>
        <v>0.85</v>
      </c>
      <c r="K3" s="29" t="n">
        <f aca="false">I3*J3</f>
        <v>94350</v>
      </c>
      <c r="L3" s="31" t="n">
        <v>46295</v>
      </c>
      <c r="M3" s="32" t="n">
        <f aca="false">Settings!$B$3-DATE(2026,9,10)</f>
        <v>7</v>
      </c>
      <c r="N3" s="31" t="n">
        <v>46253</v>
      </c>
      <c r="O3" s="26" t="s">
        <v>66</v>
      </c>
      <c r="P3" s="26" t="s">
        <v>30</v>
      </c>
      <c r="Q3" s="26" t="s">
        <v>67</v>
      </c>
      <c r="R3" s="33" t="s">
        <v>68</v>
      </c>
    </row>
    <row r="4" customFormat="false" ht="15" hidden="false" customHeight="false" outlineLevel="0" collapsed="false">
      <c r="A4" s="25" t="s">
        <v>69</v>
      </c>
      <c r="B4" s="26" t="s">
        <v>70</v>
      </c>
      <c r="C4" s="26" t="s">
        <v>14</v>
      </c>
      <c r="D4" s="26" t="s">
        <v>71</v>
      </c>
      <c r="E4" s="27" t="s">
        <v>59</v>
      </c>
      <c r="F4" s="27" t="s">
        <v>22</v>
      </c>
      <c r="G4" s="28" t="n">
        <v>100000</v>
      </c>
      <c r="H4" s="27" t="s">
        <v>60</v>
      </c>
      <c r="I4" s="29" t="n">
        <f aca="false">G4*INDEX(Settings!$B$6:$B$8,MATCH(H4,Settings!$A$6:$A$8,0))</f>
        <v>74000</v>
      </c>
      <c r="J4" s="30" t="n">
        <f aca="false">INDEX(Settings!$C$11:$C$16,MATCH(F4,Settings!$A$11:$A$16,0))</f>
        <v>0.85</v>
      </c>
      <c r="K4" s="29" t="n">
        <f aca="false">I4*J4</f>
        <v>62900</v>
      </c>
      <c r="L4" s="31" t="n">
        <v>46295</v>
      </c>
      <c r="M4" s="32" t="n">
        <f aca="false">Settings!$B$3-DATE(2026,9,11)</f>
        <v>6</v>
      </c>
      <c r="N4" s="31" t="n">
        <v>46275</v>
      </c>
      <c r="O4" s="26" t="s">
        <v>72</v>
      </c>
      <c r="P4" s="26" t="s">
        <v>28</v>
      </c>
      <c r="Q4" s="26" t="s">
        <v>73</v>
      </c>
      <c r="R4" s="33" t="s">
        <v>74</v>
      </c>
    </row>
    <row r="5" customFormat="false" ht="15" hidden="false" customHeight="false" outlineLevel="0" collapsed="false">
      <c r="A5" s="25" t="s">
        <v>75</v>
      </c>
      <c r="B5" s="26" t="s">
        <v>76</v>
      </c>
      <c r="C5" s="26" t="s">
        <v>18</v>
      </c>
      <c r="D5" s="26" t="s">
        <v>71</v>
      </c>
      <c r="E5" s="27" t="s">
        <v>59</v>
      </c>
      <c r="F5" s="27" t="s">
        <v>22</v>
      </c>
      <c r="G5" s="28" t="n">
        <v>60000</v>
      </c>
      <c r="H5" s="27" t="s">
        <v>77</v>
      </c>
      <c r="I5" s="29" t="n">
        <f aca="false">G5*INDEX(Settings!$B$6:$B$8,MATCH(H5,Settings!$A$6:$A$8,0))</f>
        <v>60000</v>
      </c>
      <c r="J5" s="30" t="n">
        <f aca="false">INDEX(Settings!$C$11:$C$16,MATCH(F5,Settings!$A$11:$A$16,0))</f>
        <v>0.85</v>
      </c>
      <c r="K5" s="29" t="n">
        <f aca="false">I5*J5</f>
        <v>51000</v>
      </c>
      <c r="L5" s="31" t="n">
        <v>46295</v>
      </c>
      <c r="M5" s="32" t="n">
        <f aca="false">Settings!$B$3-DATE(2026,8,24)</f>
        <v>24</v>
      </c>
      <c r="N5" s="31" t="n">
        <v>46156</v>
      </c>
      <c r="O5" s="26" t="s">
        <v>78</v>
      </c>
      <c r="P5" s="26" t="s">
        <v>30</v>
      </c>
      <c r="Q5" s="26" t="s">
        <v>79</v>
      </c>
      <c r="R5" s="33" t="s">
        <v>80</v>
      </c>
    </row>
    <row r="6" customFormat="false" ht="15" hidden="false" customHeight="false" outlineLevel="0" collapsed="false">
      <c r="A6" s="25" t="s">
        <v>64</v>
      </c>
      <c r="B6" s="26" t="s">
        <v>81</v>
      </c>
      <c r="C6" s="26" t="s">
        <v>18</v>
      </c>
      <c r="D6" s="26" t="s">
        <v>31</v>
      </c>
      <c r="E6" s="27" t="s">
        <v>59</v>
      </c>
      <c r="F6" s="27" t="s">
        <v>22</v>
      </c>
      <c r="G6" s="28" t="n">
        <v>75000</v>
      </c>
      <c r="H6" s="27" t="s">
        <v>60</v>
      </c>
      <c r="I6" s="29" t="n">
        <f aca="false">G6*INDEX(Settings!$B$6:$B$8,MATCH(H6,Settings!$A$6:$A$8,0))</f>
        <v>55500</v>
      </c>
      <c r="J6" s="30" t="n">
        <f aca="false">INDEX(Settings!$C$11:$C$16,MATCH(F6,Settings!$A$11:$A$16,0))</f>
        <v>0.85</v>
      </c>
      <c r="K6" s="29" t="n">
        <f aca="false">I6*J6</f>
        <v>47175</v>
      </c>
      <c r="L6" s="31" t="n">
        <v>46283</v>
      </c>
      <c r="M6" s="32" t="n">
        <f aca="false">Settings!$B$3-DATE(2026,8,19)</f>
        <v>29</v>
      </c>
      <c r="N6" s="31" t="n">
        <v>46223</v>
      </c>
      <c r="O6" s="26" t="s">
        <v>66</v>
      </c>
      <c r="P6" s="26" t="s">
        <v>30</v>
      </c>
      <c r="Q6" s="26" t="s">
        <v>67</v>
      </c>
      <c r="R6" s="33" t="s">
        <v>68</v>
      </c>
    </row>
    <row r="7" customFormat="false" ht="15" hidden="false" customHeight="false" outlineLevel="0" collapsed="false">
      <c r="A7" s="25" t="s">
        <v>82</v>
      </c>
      <c r="B7" s="26" t="s">
        <v>83</v>
      </c>
      <c r="C7" s="26" t="s">
        <v>16</v>
      </c>
      <c r="D7" s="26" t="s">
        <v>35</v>
      </c>
      <c r="E7" s="27" t="s">
        <v>59</v>
      </c>
      <c r="F7" s="27" t="s">
        <v>22</v>
      </c>
      <c r="G7" s="28" t="n">
        <v>60000</v>
      </c>
      <c r="H7" s="27" t="s">
        <v>84</v>
      </c>
      <c r="I7" s="29" t="n">
        <f aca="false">G7*INDEX(Settings!$B$6:$B$8,MATCH(H7,Settings!$A$6:$A$8,0))</f>
        <v>51000</v>
      </c>
      <c r="J7" s="30" t="n">
        <f aca="false">INDEX(Settings!$C$11:$C$16,MATCH(F7,Settings!$A$11:$A$16,0))</f>
        <v>0.85</v>
      </c>
      <c r="K7" s="29" t="n">
        <f aca="false">I7*J7</f>
        <v>43350</v>
      </c>
      <c r="L7" s="31" t="n">
        <v>46311</v>
      </c>
      <c r="M7" s="32" t="n">
        <f aca="false">Settings!$B$3-DATE(2026,7,17)</f>
        <v>62</v>
      </c>
      <c r="N7" s="31" t="n">
        <v>46148</v>
      </c>
      <c r="O7" s="26" t="s">
        <v>85</v>
      </c>
      <c r="P7" s="26" t="s">
        <v>28</v>
      </c>
      <c r="Q7" s="26" t="s">
        <v>86</v>
      </c>
      <c r="R7" s="33" t="s">
        <v>87</v>
      </c>
    </row>
    <row r="8" customFormat="false" ht="15" hidden="false" customHeight="false" outlineLevel="0" collapsed="false">
      <c r="A8" s="25" t="s">
        <v>88</v>
      </c>
      <c r="B8" s="26" t="s">
        <v>89</v>
      </c>
      <c r="C8" s="26" t="s">
        <v>14</v>
      </c>
      <c r="D8" s="26" t="s">
        <v>71</v>
      </c>
      <c r="E8" s="27" t="s">
        <v>59</v>
      </c>
      <c r="F8" s="27" t="s">
        <v>22</v>
      </c>
      <c r="G8" s="28" t="n">
        <v>50000</v>
      </c>
      <c r="H8" s="27" t="s">
        <v>77</v>
      </c>
      <c r="I8" s="29" t="n">
        <f aca="false">G8*INDEX(Settings!$B$6:$B$8,MATCH(H8,Settings!$A$6:$A$8,0))</f>
        <v>50000</v>
      </c>
      <c r="J8" s="30" t="n">
        <f aca="false">INDEX(Settings!$C$11:$C$16,MATCH(F8,Settings!$A$11:$A$16,0))</f>
        <v>0.85</v>
      </c>
      <c r="K8" s="29" t="n">
        <f aca="false">I8*J8</f>
        <v>42500</v>
      </c>
      <c r="L8" s="31" t="n">
        <v>46295</v>
      </c>
      <c r="M8" s="32" t="n">
        <f aca="false">Settings!$B$3-DATE(2026,9,16)</f>
        <v>1</v>
      </c>
      <c r="N8" s="31" t="n">
        <v>46275</v>
      </c>
      <c r="O8" s="26" t="s">
        <v>90</v>
      </c>
      <c r="P8" s="26" t="s">
        <v>28</v>
      </c>
      <c r="Q8" s="26" t="s">
        <v>73</v>
      </c>
      <c r="R8" s="33" t="s">
        <v>91</v>
      </c>
    </row>
    <row r="9" customFormat="false" ht="15" hidden="false" customHeight="false" outlineLevel="0" collapsed="false">
      <c r="A9" s="25" t="s">
        <v>92</v>
      </c>
      <c r="B9" s="26" t="s">
        <v>93</v>
      </c>
      <c r="C9" s="26" t="s">
        <v>14</v>
      </c>
      <c r="D9" s="26" t="s">
        <v>71</v>
      </c>
      <c r="E9" s="27" t="s">
        <v>94</v>
      </c>
      <c r="F9" s="27" t="s">
        <v>22</v>
      </c>
      <c r="G9" s="28" t="n">
        <v>60000</v>
      </c>
      <c r="H9" s="27" t="s">
        <v>60</v>
      </c>
      <c r="I9" s="29" t="n">
        <f aca="false">G9*INDEX(Settings!$B$6:$B$8,MATCH(H9,Settings!$A$6:$A$8,0))</f>
        <v>44400</v>
      </c>
      <c r="J9" s="30" t="n">
        <f aca="false">INDEX(Settings!$C$11:$C$16,MATCH(F9,Settings!$A$11:$A$16,0))</f>
        <v>0.85</v>
      </c>
      <c r="K9" s="29" t="n">
        <f aca="false">I9*J9</f>
        <v>37740</v>
      </c>
      <c r="L9" s="31" t="n">
        <v>46289</v>
      </c>
      <c r="M9" s="32" t="n">
        <f aca="false">Settings!$B$3-DATE(2026,9,17)</f>
        <v>0</v>
      </c>
      <c r="N9" s="31" t="n">
        <v>46282</v>
      </c>
      <c r="O9" s="26" t="s">
        <v>95</v>
      </c>
      <c r="P9" s="26" t="s">
        <v>28</v>
      </c>
      <c r="Q9" s="26" t="s">
        <v>73</v>
      </c>
      <c r="R9" s="26"/>
    </row>
    <row r="10" customFormat="false" ht="15" hidden="false" customHeight="false" outlineLevel="0" collapsed="false">
      <c r="A10" s="25" t="s">
        <v>96</v>
      </c>
      <c r="B10" s="26" t="s">
        <v>97</v>
      </c>
      <c r="C10" s="26" t="s">
        <v>16</v>
      </c>
      <c r="D10" s="26" t="s">
        <v>31</v>
      </c>
      <c r="E10" s="27" t="s">
        <v>59</v>
      </c>
      <c r="F10" s="27" t="s">
        <v>22</v>
      </c>
      <c r="G10" s="28" t="n">
        <v>45000</v>
      </c>
      <c r="H10" s="27" t="s">
        <v>60</v>
      </c>
      <c r="I10" s="29" t="n">
        <f aca="false">G10*INDEX(Settings!$B$6:$B$8,MATCH(H10,Settings!$A$6:$A$8,0))</f>
        <v>33300</v>
      </c>
      <c r="J10" s="30" t="n">
        <f aca="false">INDEX(Settings!$C$11:$C$16,MATCH(F10,Settings!$A$11:$A$16,0))</f>
        <v>0.85</v>
      </c>
      <c r="K10" s="29" t="n">
        <f aca="false">I10*J10</f>
        <v>28305</v>
      </c>
      <c r="L10" s="31" t="n">
        <v>46277</v>
      </c>
      <c r="M10" s="32" t="n">
        <f aca="false">Settings!$B$3-DATE(2026,8,28)</f>
        <v>20</v>
      </c>
      <c r="N10" s="31" t="n">
        <v>46224</v>
      </c>
      <c r="O10" s="26" t="s">
        <v>98</v>
      </c>
      <c r="P10" s="26" t="s">
        <v>32</v>
      </c>
      <c r="Q10" s="26" t="s">
        <v>99</v>
      </c>
      <c r="R10" s="33" t="s">
        <v>100</v>
      </c>
    </row>
    <row r="11" customFormat="false" ht="15" hidden="false" customHeight="false" outlineLevel="0" collapsed="false">
      <c r="A11" s="25" t="s">
        <v>101</v>
      </c>
      <c r="B11" s="26" t="s">
        <v>102</v>
      </c>
      <c r="C11" s="26" t="s">
        <v>14</v>
      </c>
      <c r="D11" s="26" t="s">
        <v>27</v>
      </c>
      <c r="E11" s="27" t="s">
        <v>59</v>
      </c>
      <c r="F11" s="27" t="s">
        <v>22</v>
      </c>
      <c r="G11" s="28" t="n">
        <v>43000</v>
      </c>
      <c r="H11" s="27" t="s">
        <v>60</v>
      </c>
      <c r="I11" s="29" t="n">
        <f aca="false">G11*INDEX(Settings!$B$6:$B$8,MATCH(H11,Settings!$A$6:$A$8,0))</f>
        <v>31820</v>
      </c>
      <c r="J11" s="30" t="n">
        <f aca="false">INDEX(Settings!$C$11:$C$16,MATCH(F11,Settings!$A$11:$A$16,0))</f>
        <v>0.85</v>
      </c>
      <c r="K11" s="29" t="n">
        <f aca="false">I11*J11</f>
        <v>27047</v>
      </c>
      <c r="L11" s="31" t="n">
        <v>46283</v>
      </c>
      <c r="M11" s="32" t="n">
        <f aca="false">Settings!$B$3-DATE(2026,8,10)</f>
        <v>38</v>
      </c>
      <c r="N11" s="31" t="n">
        <v>46232</v>
      </c>
      <c r="O11" s="26" t="s">
        <v>103</v>
      </c>
      <c r="P11" s="26" t="s">
        <v>28</v>
      </c>
      <c r="Q11" s="26" t="s">
        <v>73</v>
      </c>
      <c r="R11" s="33" t="s">
        <v>104</v>
      </c>
    </row>
    <row r="12" customFormat="false" ht="15" hidden="false" customHeight="false" outlineLevel="0" collapsed="false">
      <c r="A12" s="25" t="s">
        <v>105</v>
      </c>
      <c r="B12" s="26" t="s">
        <v>106</v>
      </c>
      <c r="C12" s="26" t="s">
        <v>16</v>
      </c>
      <c r="D12" s="26" t="s">
        <v>33</v>
      </c>
      <c r="E12" s="27" t="s">
        <v>59</v>
      </c>
      <c r="F12" s="27" t="s">
        <v>22</v>
      </c>
      <c r="G12" s="28" t="n">
        <v>30000</v>
      </c>
      <c r="H12" s="27" t="s">
        <v>60</v>
      </c>
      <c r="I12" s="29" t="n">
        <f aca="false">G12*INDEX(Settings!$B$6:$B$8,MATCH(H12,Settings!$A$6:$A$8,0))</f>
        <v>22200</v>
      </c>
      <c r="J12" s="30" t="n">
        <f aca="false">INDEX(Settings!$C$11:$C$16,MATCH(F12,Settings!$A$11:$A$16,0))</f>
        <v>0.85</v>
      </c>
      <c r="K12" s="29" t="n">
        <f aca="false">I12*J12</f>
        <v>18870</v>
      </c>
      <c r="L12" s="31" t="n">
        <v>46276</v>
      </c>
      <c r="M12" s="32" t="n">
        <f aca="false">Settings!$B$3-DATE(2026,9,15)</f>
        <v>2</v>
      </c>
      <c r="N12" s="31" t="n">
        <v>46269</v>
      </c>
      <c r="O12" s="26" t="s">
        <v>107</v>
      </c>
      <c r="P12" s="26" t="s">
        <v>30</v>
      </c>
      <c r="Q12" s="26" t="s">
        <v>108</v>
      </c>
      <c r="R12" s="33" t="s">
        <v>109</v>
      </c>
    </row>
    <row r="13" customFormat="false" ht="15" hidden="false" customHeight="false" outlineLevel="0" collapsed="false">
      <c r="A13" s="25" t="s">
        <v>110</v>
      </c>
      <c r="B13" s="26" t="s">
        <v>111</v>
      </c>
      <c r="C13" s="26" t="s">
        <v>14</v>
      </c>
      <c r="D13" s="26" t="s">
        <v>71</v>
      </c>
      <c r="E13" s="27" t="s">
        <v>59</v>
      </c>
      <c r="F13" s="27" t="s">
        <v>22</v>
      </c>
      <c r="G13" s="28" t="n">
        <v>9000</v>
      </c>
      <c r="H13" s="27" t="s">
        <v>60</v>
      </c>
      <c r="I13" s="29" t="n">
        <f aca="false">G13*INDEX(Settings!$B$6:$B$8,MATCH(H13,Settings!$A$6:$A$8,0))</f>
        <v>6660</v>
      </c>
      <c r="J13" s="30" t="n">
        <f aca="false">INDEX(Settings!$C$11:$C$16,MATCH(F13,Settings!$A$11:$A$16,0))</f>
        <v>0.85</v>
      </c>
      <c r="K13" s="29" t="n">
        <f aca="false">I13*J13</f>
        <v>5661</v>
      </c>
      <c r="L13" s="31" t="n">
        <v>46295</v>
      </c>
      <c r="M13" s="32" t="n">
        <f aca="false">Settings!$B$3-DATE(2026,9,15)</f>
        <v>2</v>
      </c>
      <c r="N13" s="31" t="n">
        <v>46279</v>
      </c>
      <c r="O13" s="26" t="s">
        <v>112</v>
      </c>
      <c r="P13" s="26" t="s">
        <v>28</v>
      </c>
      <c r="Q13" s="26" t="s">
        <v>73</v>
      </c>
      <c r="R13" s="33" t="s">
        <v>113</v>
      </c>
    </row>
    <row r="14" customFormat="false" ht="15" hidden="false" customHeight="false" outlineLevel="0" collapsed="false">
      <c r="A14" s="25" t="s">
        <v>114</v>
      </c>
      <c r="B14" s="26" t="s">
        <v>115</v>
      </c>
      <c r="C14" s="26" t="s">
        <v>18</v>
      </c>
      <c r="D14" s="26" t="s">
        <v>71</v>
      </c>
      <c r="E14" s="27" t="s">
        <v>94</v>
      </c>
      <c r="F14" s="27" t="s">
        <v>21</v>
      </c>
      <c r="G14" s="28" t="n">
        <v>150000</v>
      </c>
      <c r="H14" s="27" t="s">
        <v>60</v>
      </c>
      <c r="I14" s="29" t="n">
        <f aca="false">G14*INDEX(Settings!$B$6:$B$8,MATCH(H14,Settings!$A$6:$A$8,0))</f>
        <v>111000</v>
      </c>
      <c r="J14" s="30" t="n">
        <f aca="false">INDEX(Settings!$C$11:$C$16,MATCH(F14,Settings!$A$11:$A$16,0))</f>
        <v>0.75</v>
      </c>
      <c r="K14" s="29" t="n">
        <f aca="false">I14*J14</f>
        <v>83250</v>
      </c>
      <c r="L14" s="31" t="n">
        <v>46326</v>
      </c>
      <c r="M14" s="32" t="n">
        <f aca="false">Settings!$B$3-DATE(2026,6,29)</f>
        <v>80</v>
      </c>
      <c r="N14" s="31" t="n">
        <v>45903</v>
      </c>
      <c r="O14" s="26" t="s">
        <v>116</v>
      </c>
      <c r="P14" s="26" t="s">
        <v>38</v>
      </c>
      <c r="Q14" s="26" t="s">
        <v>117</v>
      </c>
      <c r="R14" s="33" t="s">
        <v>118</v>
      </c>
    </row>
    <row r="15" customFormat="false" ht="15" hidden="false" customHeight="false" outlineLevel="0" collapsed="false">
      <c r="A15" s="25" t="s">
        <v>105</v>
      </c>
      <c r="B15" s="26" t="s">
        <v>119</v>
      </c>
      <c r="C15" s="26" t="s">
        <v>16</v>
      </c>
      <c r="D15" s="26" t="s">
        <v>33</v>
      </c>
      <c r="E15" s="27" t="s">
        <v>59</v>
      </c>
      <c r="F15" s="27" t="s">
        <v>21</v>
      </c>
      <c r="G15" s="28" t="n">
        <v>75000</v>
      </c>
      <c r="H15" s="27" t="s">
        <v>60</v>
      </c>
      <c r="I15" s="29" t="n">
        <f aca="false">G15*INDEX(Settings!$B$6:$B$8,MATCH(H15,Settings!$A$6:$A$8,0))</f>
        <v>55500</v>
      </c>
      <c r="J15" s="30" t="n">
        <f aca="false">INDEX(Settings!$C$11:$C$16,MATCH(F15,Settings!$A$11:$A$16,0))</f>
        <v>0.75</v>
      </c>
      <c r="K15" s="29" t="n">
        <f aca="false">I15*J15</f>
        <v>41625</v>
      </c>
      <c r="L15" s="31" t="n">
        <v>46276</v>
      </c>
      <c r="M15" s="32" t="n">
        <f aca="false">Settings!$B$3-DATE(2026,8,28)</f>
        <v>20</v>
      </c>
      <c r="N15" s="31" t="n">
        <v>46250</v>
      </c>
      <c r="O15" s="26" t="s">
        <v>107</v>
      </c>
      <c r="P15" s="26" t="s">
        <v>30</v>
      </c>
      <c r="Q15" s="26" t="s">
        <v>108</v>
      </c>
      <c r="R15" s="33" t="s">
        <v>109</v>
      </c>
    </row>
    <row r="16" customFormat="false" ht="15" hidden="false" customHeight="false" outlineLevel="0" collapsed="false">
      <c r="A16" s="25" t="s">
        <v>120</v>
      </c>
      <c r="B16" s="26" t="s">
        <v>121</v>
      </c>
      <c r="C16" s="26" t="s">
        <v>14</v>
      </c>
      <c r="D16" s="26" t="s">
        <v>27</v>
      </c>
      <c r="E16" s="27" t="s">
        <v>59</v>
      </c>
      <c r="F16" s="27" t="s">
        <v>21</v>
      </c>
      <c r="G16" s="28" t="n">
        <v>70000</v>
      </c>
      <c r="H16" s="27" t="s">
        <v>60</v>
      </c>
      <c r="I16" s="29" t="n">
        <f aca="false">G16*INDEX(Settings!$B$6:$B$8,MATCH(H16,Settings!$A$6:$A$8,0))</f>
        <v>51800</v>
      </c>
      <c r="J16" s="30" t="n">
        <f aca="false">INDEX(Settings!$C$11:$C$16,MATCH(F16,Settings!$A$11:$A$16,0))</f>
        <v>0.75</v>
      </c>
      <c r="K16" s="29" t="n">
        <f aca="false">I16*J16</f>
        <v>38850</v>
      </c>
      <c r="L16" s="31" t="n">
        <v>46283</v>
      </c>
      <c r="M16" s="32" t="n">
        <f aca="false">Settings!$B$3-DATE(2026,9,10)</f>
        <v>7</v>
      </c>
      <c r="N16" s="31" t="n">
        <v>46269</v>
      </c>
      <c r="O16" s="26" t="s">
        <v>122</v>
      </c>
      <c r="P16" s="26" t="s">
        <v>28</v>
      </c>
      <c r="Q16" s="26" t="s">
        <v>73</v>
      </c>
      <c r="R16" s="33" t="s">
        <v>123</v>
      </c>
    </row>
    <row r="17" customFormat="false" ht="15" hidden="false" customHeight="false" outlineLevel="0" collapsed="false">
      <c r="A17" s="25" t="s">
        <v>124</v>
      </c>
      <c r="B17" s="26" t="s">
        <v>125</v>
      </c>
      <c r="C17" s="26" t="s">
        <v>14</v>
      </c>
      <c r="D17" s="26" t="s">
        <v>27</v>
      </c>
      <c r="E17" s="27" t="s">
        <v>59</v>
      </c>
      <c r="F17" s="27" t="s">
        <v>21</v>
      </c>
      <c r="G17" s="28" t="n">
        <v>60000</v>
      </c>
      <c r="H17" s="27" t="s">
        <v>84</v>
      </c>
      <c r="I17" s="29" t="n">
        <f aca="false">G17*INDEX(Settings!$B$6:$B$8,MATCH(H17,Settings!$A$6:$A$8,0))</f>
        <v>51000</v>
      </c>
      <c r="J17" s="30" t="n">
        <f aca="false">INDEX(Settings!$C$11:$C$16,MATCH(F17,Settings!$A$11:$A$16,0))</f>
        <v>0.75</v>
      </c>
      <c r="K17" s="29" t="n">
        <f aca="false">I17*J17</f>
        <v>38250</v>
      </c>
      <c r="L17" s="31" t="n">
        <v>46325</v>
      </c>
      <c r="M17" s="32" t="n">
        <f aca="false">Settings!$B$3-DATE(2026,9,10)</f>
        <v>7</v>
      </c>
      <c r="N17" s="31" t="n">
        <v>46240</v>
      </c>
      <c r="O17" s="26" t="s">
        <v>126</v>
      </c>
      <c r="P17" s="26" t="s">
        <v>28</v>
      </c>
      <c r="Q17" s="26" t="s">
        <v>73</v>
      </c>
      <c r="R17" s="33" t="s">
        <v>127</v>
      </c>
    </row>
    <row r="18" customFormat="false" ht="15" hidden="false" customHeight="false" outlineLevel="0" collapsed="false">
      <c r="A18" s="25" t="s">
        <v>75</v>
      </c>
      <c r="B18" s="26" t="s">
        <v>128</v>
      </c>
      <c r="C18" s="26" t="s">
        <v>18</v>
      </c>
      <c r="D18" s="26" t="s">
        <v>71</v>
      </c>
      <c r="E18" s="27" t="s">
        <v>59</v>
      </c>
      <c r="F18" s="27" t="s">
        <v>21</v>
      </c>
      <c r="G18" s="28" t="n">
        <v>50000</v>
      </c>
      <c r="H18" s="27" t="s">
        <v>77</v>
      </c>
      <c r="I18" s="29" t="n">
        <f aca="false">G18*INDEX(Settings!$B$6:$B$8,MATCH(H18,Settings!$A$6:$A$8,0))</f>
        <v>50000</v>
      </c>
      <c r="J18" s="30" t="n">
        <f aca="false">INDEX(Settings!$C$11:$C$16,MATCH(F18,Settings!$A$11:$A$16,0))</f>
        <v>0.75</v>
      </c>
      <c r="K18" s="29" t="n">
        <f aca="false">I18*J18</f>
        <v>37500</v>
      </c>
      <c r="L18" s="31" t="n">
        <v>46295</v>
      </c>
      <c r="M18" s="32" t="n">
        <f aca="false">Settings!$B$3-DATE(2026,8,31)</f>
        <v>17</v>
      </c>
      <c r="N18" s="31" t="n">
        <v>46148</v>
      </c>
      <c r="O18" s="26" t="s">
        <v>78</v>
      </c>
      <c r="P18" s="26" t="s">
        <v>30</v>
      </c>
      <c r="Q18" s="26" t="s">
        <v>79</v>
      </c>
      <c r="R18" s="33" t="s">
        <v>80</v>
      </c>
    </row>
    <row r="19" customFormat="false" ht="15" hidden="false" customHeight="false" outlineLevel="0" collapsed="false">
      <c r="A19" s="25" t="s">
        <v>129</v>
      </c>
      <c r="B19" s="26" t="s">
        <v>130</v>
      </c>
      <c r="C19" s="26" t="s">
        <v>18</v>
      </c>
      <c r="D19" s="26" t="s">
        <v>71</v>
      </c>
      <c r="E19" s="27" t="s">
        <v>94</v>
      </c>
      <c r="F19" s="27" t="s">
        <v>21</v>
      </c>
      <c r="G19" s="28" t="n">
        <v>45000</v>
      </c>
      <c r="H19" s="27" t="s">
        <v>77</v>
      </c>
      <c r="I19" s="29" t="n">
        <f aca="false">G19*INDEX(Settings!$B$6:$B$8,MATCH(H19,Settings!$A$6:$A$8,0))</f>
        <v>45000</v>
      </c>
      <c r="J19" s="30" t="n">
        <f aca="false">INDEX(Settings!$C$11:$C$16,MATCH(F19,Settings!$A$11:$A$16,0))</f>
        <v>0.75</v>
      </c>
      <c r="K19" s="29" t="n">
        <f aca="false">I19*J19</f>
        <v>33750</v>
      </c>
      <c r="L19" s="31" t="n">
        <v>46295</v>
      </c>
      <c r="M19" s="32" t="n">
        <f aca="false">Settings!$B$3-DATE(2026,7,24)</f>
        <v>55</v>
      </c>
      <c r="N19" s="31" t="n">
        <v>46203</v>
      </c>
      <c r="O19" s="26" t="s">
        <v>131</v>
      </c>
      <c r="P19" s="26" t="s">
        <v>40</v>
      </c>
      <c r="Q19" s="26" t="s">
        <v>132</v>
      </c>
      <c r="R19" s="33" t="s">
        <v>133</v>
      </c>
    </row>
    <row r="20" customFormat="false" ht="15" hidden="false" customHeight="false" outlineLevel="0" collapsed="false">
      <c r="A20" s="25" t="s">
        <v>134</v>
      </c>
      <c r="B20" s="26" t="s">
        <v>135</v>
      </c>
      <c r="C20" s="26" t="s">
        <v>14</v>
      </c>
      <c r="D20" s="26" t="s">
        <v>29</v>
      </c>
      <c r="E20" s="27" t="s">
        <v>59</v>
      </c>
      <c r="F20" s="27" t="s">
        <v>21</v>
      </c>
      <c r="G20" s="28" t="n">
        <v>50000</v>
      </c>
      <c r="H20" s="27" t="s">
        <v>84</v>
      </c>
      <c r="I20" s="29" t="n">
        <f aca="false">G20*INDEX(Settings!$B$6:$B$8,MATCH(H20,Settings!$A$6:$A$8,0))</f>
        <v>42500</v>
      </c>
      <c r="J20" s="30" t="n">
        <f aca="false">INDEX(Settings!$C$11:$C$16,MATCH(F20,Settings!$A$11:$A$16,0))</f>
        <v>0.75</v>
      </c>
      <c r="K20" s="29" t="n">
        <f aca="false">I20*J20</f>
        <v>31875</v>
      </c>
      <c r="L20" s="31" t="n">
        <v>46325</v>
      </c>
      <c r="M20" s="32" t="n">
        <f aca="false">Settings!$B$3-DATE(2026,9,16)</f>
        <v>1</v>
      </c>
      <c r="N20" s="31" t="n">
        <v>46252</v>
      </c>
      <c r="O20" s="26" t="s">
        <v>136</v>
      </c>
      <c r="P20" s="26" t="s">
        <v>32</v>
      </c>
      <c r="Q20" s="26" t="s">
        <v>137</v>
      </c>
      <c r="R20" s="33" t="s">
        <v>138</v>
      </c>
    </row>
    <row r="21" customFormat="false" ht="15" hidden="false" customHeight="false" outlineLevel="0" collapsed="false">
      <c r="A21" s="25" t="s">
        <v>124</v>
      </c>
      <c r="B21" s="26" t="s">
        <v>125</v>
      </c>
      <c r="C21" s="26" t="s">
        <v>14</v>
      </c>
      <c r="D21" s="26" t="s">
        <v>27</v>
      </c>
      <c r="E21" s="27" t="s">
        <v>59</v>
      </c>
      <c r="F21" s="27" t="s">
        <v>21</v>
      </c>
      <c r="G21" s="28" t="n">
        <v>50000</v>
      </c>
      <c r="H21" s="27" t="s">
        <v>84</v>
      </c>
      <c r="I21" s="29" t="n">
        <f aca="false">G21*INDEX(Settings!$B$6:$B$8,MATCH(H21,Settings!$A$6:$A$8,0))</f>
        <v>42500</v>
      </c>
      <c r="J21" s="30" t="n">
        <f aca="false">INDEX(Settings!$C$11:$C$16,MATCH(F21,Settings!$A$11:$A$16,0))</f>
        <v>0.75</v>
      </c>
      <c r="K21" s="29" t="n">
        <f aca="false">I21*J21</f>
        <v>31875</v>
      </c>
      <c r="L21" s="31" t="n">
        <v>46325</v>
      </c>
      <c r="M21" s="32" t="n">
        <f aca="false">Settings!$B$3-DATE(2026,9,10)</f>
        <v>7</v>
      </c>
      <c r="N21" s="31" t="n">
        <v>46252</v>
      </c>
      <c r="O21" s="26" t="s">
        <v>126</v>
      </c>
      <c r="P21" s="26" t="s">
        <v>28</v>
      </c>
      <c r="Q21" s="26" t="s">
        <v>73</v>
      </c>
      <c r="R21" s="33" t="s">
        <v>127</v>
      </c>
    </row>
    <row r="22" customFormat="false" ht="15" hidden="false" customHeight="false" outlineLevel="0" collapsed="false">
      <c r="A22" s="25" t="s">
        <v>139</v>
      </c>
      <c r="B22" s="26" t="s">
        <v>140</v>
      </c>
      <c r="C22" s="26" t="s">
        <v>18</v>
      </c>
      <c r="D22" s="26" t="s">
        <v>71</v>
      </c>
      <c r="E22" s="27" t="s">
        <v>94</v>
      </c>
      <c r="F22" s="27" t="s">
        <v>21</v>
      </c>
      <c r="G22" s="28" t="n">
        <v>50000</v>
      </c>
      <c r="H22" s="27" t="s">
        <v>60</v>
      </c>
      <c r="I22" s="29" t="n">
        <f aca="false">G22*INDEX(Settings!$B$6:$B$8,MATCH(H22,Settings!$A$6:$A$8,0))</f>
        <v>37000</v>
      </c>
      <c r="J22" s="30" t="n">
        <f aca="false">INDEX(Settings!$C$11:$C$16,MATCH(F22,Settings!$A$11:$A$16,0))</f>
        <v>0.75</v>
      </c>
      <c r="K22" s="29" t="n">
        <f aca="false">I22*J22</f>
        <v>27750</v>
      </c>
      <c r="L22" s="31" t="n">
        <v>46326</v>
      </c>
      <c r="M22" s="32" t="n">
        <f aca="false">Settings!$B$3-DATE(2026,9,7)</f>
        <v>10</v>
      </c>
      <c r="N22" s="31" t="n">
        <v>45855</v>
      </c>
      <c r="O22" s="26" t="s">
        <v>141</v>
      </c>
      <c r="P22" s="26"/>
      <c r="Q22" s="26"/>
      <c r="R22" s="26"/>
    </row>
    <row r="23" customFormat="false" ht="15" hidden="false" customHeight="false" outlineLevel="0" collapsed="false">
      <c r="A23" s="25" t="s">
        <v>142</v>
      </c>
      <c r="B23" s="26" t="s">
        <v>143</v>
      </c>
      <c r="C23" s="26" t="s">
        <v>14</v>
      </c>
      <c r="D23" s="26" t="s">
        <v>71</v>
      </c>
      <c r="E23" s="27" t="s">
        <v>94</v>
      </c>
      <c r="F23" s="27" t="s">
        <v>21</v>
      </c>
      <c r="G23" s="28" t="n">
        <v>50000</v>
      </c>
      <c r="H23" s="27" t="s">
        <v>60</v>
      </c>
      <c r="I23" s="29" t="n">
        <f aca="false">G23*INDEX(Settings!$B$6:$B$8,MATCH(H23,Settings!$A$6:$A$8,0))</f>
        <v>37000</v>
      </c>
      <c r="J23" s="30" t="n">
        <f aca="false">INDEX(Settings!$C$11:$C$16,MATCH(F23,Settings!$A$11:$A$16,0))</f>
        <v>0.75</v>
      </c>
      <c r="K23" s="29" t="n">
        <f aca="false">I23*J23</f>
        <v>27750</v>
      </c>
      <c r="L23" s="31" t="n">
        <v>46356</v>
      </c>
      <c r="M23" s="32" t="n">
        <f aca="false">Settings!$B$3-DATE(2026,9,15)</f>
        <v>2</v>
      </c>
      <c r="N23" s="31" t="n">
        <v>46196</v>
      </c>
      <c r="O23" s="26" t="s">
        <v>144</v>
      </c>
      <c r="P23" s="26" t="s">
        <v>28</v>
      </c>
      <c r="Q23" s="26" t="s">
        <v>73</v>
      </c>
      <c r="R23" s="33" t="s">
        <v>145</v>
      </c>
    </row>
    <row r="24" customFormat="false" ht="15" hidden="false" customHeight="false" outlineLevel="0" collapsed="false">
      <c r="A24" s="25" t="s">
        <v>64</v>
      </c>
      <c r="B24" s="26" t="s">
        <v>146</v>
      </c>
      <c r="C24" s="26" t="s">
        <v>18</v>
      </c>
      <c r="D24" s="26" t="s">
        <v>31</v>
      </c>
      <c r="E24" s="27" t="s">
        <v>59</v>
      </c>
      <c r="F24" s="27" t="s">
        <v>21</v>
      </c>
      <c r="G24" s="28" t="n">
        <v>50000</v>
      </c>
      <c r="H24" s="27" t="s">
        <v>60</v>
      </c>
      <c r="I24" s="29" t="n">
        <f aca="false">G24*INDEX(Settings!$B$6:$B$8,MATCH(H24,Settings!$A$6:$A$8,0))</f>
        <v>37000</v>
      </c>
      <c r="J24" s="30" t="n">
        <f aca="false">INDEX(Settings!$C$11:$C$16,MATCH(F24,Settings!$A$11:$A$16,0))</f>
        <v>0.75</v>
      </c>
      <c r="K24" s="29" t="n">
        <f aca="false">I24*J24</f>
        <v>27750</v>
      </c>
      <c r="L24" s="31" t="n">
        <v>46295</v>
      </c>
      <c r="M24" s="32" t="n">
        <f aca="false">Settings!$B$3-DATE(2026,8,12)</f>
        <v>36</v>
      </c>
      <c r="N24" s="31" t="n">
        <v>46226</v>
      </c>
      <c r="O24" s="26" t="s">
        <v>66</v>
      </c>
      <c r="P24" s="26" t="s">
        <v>30</v>
      </c>
      <c r="Q24" s="26" t="s">
        <v>67</v>
      </c>
      <c r="R24" s="33" t="s">
        <v>68</v>
      </c>
    </row>
    <row r="25" customFormat="false" ht="15" hidden="false" customHeight="false" outlineLevel="0" collapsed="false">
      <c r="A25" s="25" t="s">
        <v>147</v>
      </c>
      <c r="B25" s="26" t="s">
        <v>148</v>
      </c>
      <c r="C25" s="26" t="s">
        <v>18</v>
      </c>
      <c r="D25" s="26" t="s">
        <v>71</v>
      </c>
      <c r="E25" s="27" t="s">
        <v>94</v>
      </c>
      <c r="F25" s="27" t="s">
        <v>21</v>
      </c>
      <c r="G25" s="28" t="n">
        <v>50000</v>
      </c>
      <c r="H25" s="27" t="s">
        <v>60</v>
      </c>
      <c r="I25" s="29" t="n">
        <f aca="false">G25*INDEX(Settings!$B$6:$B$8,MATCH(H25,Settings!$A$6:$A$8,0))</f>
        <v>37000</v>
      </c>
      <c r="J25" s="30" t="n">
        <f aca="false">INDEX(Settings!$C$11:$C$16,MATCH(F25,Settings!$A$11:$A$16,0))</f>
        <v>0.75</v>
      </c>
      <c r="K25" s="29" t="n">
        <f aca="false">I25*J25</f>
        <v>27750</v>
      </c>
      <c r="L25" s="31" t="n">
        <v>46295</v>
      </c>
      <c r="M25" s="32" t="n">
        <f aca="false">Settings!$B$3-DATE(2026,9,14)</f>
        <v>3</v>
      </c>
      <c r="N25" s="31" t="n">
        <v>46279</v>
      </c>
      <c r="O25" s="26" t="s">
        <v>149</v>
      </c>
      <c r="P25" s="26" t="s">
        <v>36</v>
      </c>
      <c r="Q25" s="26" t="s">
        <v>150</v>
      </c>
      <c r="R25" s="33" t="s">
        <v>151</v>
      </c>
    </row>
    <row r="26" customFormat="false" ht="15" hidden="false" customHeight="false" outlineLevel="0" collapsed="false">
      <c r="A26" s="25" t="s">
        <v>147</v>
      </c>
      <c r="B26" s="26" t="s">
        <v>152</v>
      </c>
      <c r="C26" s="26" t="s">
        <v>18</v>
      </c>
      <c r="D26" s="26" t="s">
        <v>71</v>
      </c>
      <c r="E26" s="27" t="s">
        <v>94</v>
      </c>
      <c r="F26" s="27" t="s">
        <v>21</v>
      </c>
      <c r="G26" s="28" t="n">
        <v>50000</v>
      </c>
      <c r="H26" s="27" t="s">
        <v>60</v>
      </c>
      <c r="I26" s="29" t="n">
        <f aca="false">G26*INDEX(Settings!$B$6:$B$8,MATCH(H26,Settings!$A$6:$A$8,0))</f>
        <v>37000</v>
      </c>
      <c r="J26" s="30" t="n">
        <f aca="false">INDEX(Settings!$C$11:$C$16,MATCH(F26,Settings!$A$11:$A$16,0))</f>
        <v>0.75</v>
      </c>
      <c r="K26" s="29" t="n">
        <f aca="false">I26*J26</f>
        <v>27750</v>
      </c>
      <c r="L26" s="31" t="n">
        <v>46326</v>
      </c>
      <c r="M26" s="32" t="n">
        <f aca="false">Settings!$B$3-DATE(2026,9,14)</f>
        <v>3</v>
      </c>
      <c r="N26" s="31" t="n">
        <v>46279</v>
      </c>
      <c r="O26" s="26" t="s">
        <v>149</v>
      </c>
      <c r="P26" s="26" t="s">
        <v>36</v>
      </c>
      <c r="Q26" s="26" t="s">
        <v>150</v>
      </c>
      <c r="R26" s="33" t="s">
        <v>151</v>
      </c>
    </row>
    <row r="27" customFormat="false" ht="15" hidden="false" customHeight="false" outlineLevel="0" collapsed="false">
      <c r="A27" s="25" t="s">
        <v>153</v>
      </c>
      <c r="B27" s="26" t="s">
        <v>154</v>
      </c>
      <c r="C27" s="26" t="s">
        <v>18</v>
      </c>
      <c r="D27" s="26" t="s">
        <v>71</v>
      </c>
      <c r="E27" s="27" t="s">
        <v>94</v>
      </c>
      <c r="F27" s="27" t="s">
        <v>21</v>
      </c>
      <c r="G27" s="28" t="n">
        <v>45000</v>
      </c>
      <c r="H27" s="27" t="s">
        <v>60</v>
      </c>
      <c r="I27" s="29" t="n">
        <f aca="false">G27*INDEX(Settings!$B$6:$B$8,MATCH(H27,Settings!$A$6:$A$8,0))</f>
        <v>33300</v>
      </c>
      <c r="J27" s="30" t="n">
        <f aca="false">INDEX(Settings!$C$11:$C$16,MATCH(F27,Settings!$A$11:$A$16,0))</f>
        <v>0.75</v>
      </c>
      <c r="K27" s="29" t="n">
        <f aca="false">I27*J27</f>
        <v>24975</v>
      </c>
      <c r="L27" s="31" t="n">
        <v>46326</v>
      </c>
      <c r="M27" s="32" t="n">
        <f aca="false">Settings!$B$3-DATE(2026,8,24)</f>
        <v>24</v>
      </c>
      <c r="N27" s="31" t="n">
        <v>46233</v>
      </c>
      <c r="O27" s="26" t="s">
        <v>155</v>
      </c>
      <c r="P27" s="26" t="s">
        <v>40</v>
      </c>
      <c r="Q27" s="26" t="s">
        <v>156</v>
      </c>
      <c r="R27" s="33" t="s">
        <v>157</v>
      </c>
    </row>
    <row r="28" customFormat="false" ht="15" hidden="false" customHeight="false" outlineLevel="0" collapsed="false">
      <c r="A28" s="25" t="s">
        <v>158</v>
      </c>
      <c r="B28" s="26" t="s">
        <v>159</v>
      </c>
      <c r="C28" s="26" t="s">
        <v>14</v>
      </c>
      <c r="D28" s="26" t="s">
        <v>71</v>
      </c>
      <c r="E28" s="27" t="s">
        <v>94</v>
      </c>
      <c r="F28" s="27" t="s">
        <v>21</v>
      </c>
      <c r="G28" s="28" t="n">
        <v>40000</v>
      </c>
      <c r="H28" s="27" t="s">
        <v>60</v>
      </c>
      <c r="I28" s="29" t="n">
        <f aca="false">G28*INDEX(Settings!$B$6:$B$8,MATCH(H28,Settings!$A$6:$A$8,0))</f>
        <v>29600</v>
      </c>
      <c r="J28" s="30" t="n">
        <f aca="false">INDEX(Settings!$C$11:$C$16,MATCH(F28,Settings!$A$11:$A$16,0))</f>
        <v>0.75</v>
      </c>
      <c r="K28" s="29" t="n">
        <f aca="false">I28*J28</f>
        <v>22200</v>
      </c>
      <c r="L28" s="31" t="n">
        <v>46295</v>
      </c>
      <c r="M28" s="32" t="n">
        <f aca="false">Settings!$B$3-DATE(2026,9,7)</f>
        <v>10</v>
      </c>
      <c r="N28" s="31" t="n">
        <v>46191</v>
      </c>
      <c r="O28" s="26" t="s">
        <v>160</v>
      </c>
      <c r="P28" s="26" t="s">
        <v>28</v>
      </c>
      <c r="Q28" s="26" t="s">
        <v>161</v>
      </c>
      <c r="R28" s="33" t="s">
        <v>162</v>
      </c>
    </row>
    <row r="29" customFormat="false" ht="15" hidden="false" customHeight="false" outlineLevel="0" collapsed="false">
      <c r="A29" s="25" t="s">
        <v>163</v>
      </c>
      <c r="B29" s="26" t="s">
        <v>164</v>
      </c>
      <c r="C29" s="26" t="s">
        <v>18</v>
      </c>
      <c r="D29" s="26" t="s">
        <v>31</v>
      </c>
      <c r="E29" s="27" t="s">
        <v>59</v>
      </c>
      <c r="F29" s="27" t="s">
        <v>21</v>
      </c>
      <c r="G29" s="28" t="n">
        <v>40000</v>
      </c>
      <c r="H29" s="27" t="s">
        <v>60</v>
      </c>
      <c r="I29" s="29" t="n">
        <f aca="false">G29*INDEX(Settings!$B$6:$B$8,MATCH(H29,Settings!$A$6:$A$8,0))</f>
        <v>29600</v>
      </c>
      <c r="J29" s="30" t="n">
        <f aca="false">INDEX(Settings!$C$11:$C$16,MATCH(F29,Settings!$A$11:$A$16,0))</f>
        <v>0.75</v>
      </c>
      <c r="K29" s="29" t="n">
        <f aca="false">I29*J29</f>
        <v>22200</v>
      </c>
      <c r="L29" s="31" t="n">
        <v>46295</v>
      </c>
      <c r="M29" s="32" t="n">
        <f aca="false">Settings!$B$3-DATE(2026,8,28)</f>
        <v>20</v>
      </c>
      <c r="N29" s="31" t="n">
        <v>46258</v>
      </c>
      <c r="O29" s="26" t="s">
        <v>165</v>
      </c>
      <c r="P29" s="26" t="s">
        <v>30</v>
      </c>
      <c r="Q29" s="26" t="s">
        <v>166</v>
      </c>
      <c r="R29" s="33" t="s">
        <v>167</v>
      </c>
    </row>
    <row r="30" customFormat="false" ht="15" hidden="false" customHeight="false" outlineLevel="0" collapsed="false">
      <c r="A30" s="25" t="s">
        <v>168</v>
      </c>
      <c r="B30" s="26" t="s">
        <v>169</v>
      </c>
      <c r="C30" s="26" t="s">
        <v>14</v>
      </c>
      <c r="D30" s="26" t="s">
        <v>29</v>
      </c>
      <c r="E30" s="27" t="s">
        <v>59</v>
      </c>
      <c r="F30" s="27" t="s">
        <v>21</v>
      </c>
      <c r="G30" s="28" t="n">
        <v>36000</v>
      </c>
      <c r="H30" s="27" t="s">
        <v>60</v>
      </c>
      <c r="I30" s="29" t="n">
        <f aca="false">G30*INDEX(Settings!$B$6:$B$8,MATCH(H30,Settings!$A$6:$A$8,0))</f>
        <v>26640</v>
      </c>
      <c r="J30" s="30" t="n">
        <f aca="false">INDEX(Settings!$C$11:$C$16,MATCH(F30,Settings!$A$11:$A$16,0))</f>
        <v>0.75</v>
      </c>
      <c r="K30" s="29" t="n">
        <f aca="false">I30*J30</f>
        <v>19980</v>
      </c>
      <c r="L30" s="31" t="n">
        <v>46295</v>
      </c>
      <c r="M30" s="32" t="n">
        <f aca="false">Settings!$B$3-DATE(2026,9,7)</f>
        <v>10</v>
      </c>
      <c r="N30" s="31" t="n">
        <v>46210</v>
      </c>
      <c r="O30" s="26" t="s">
        <v>170</v>
      </c>
      <c r="P30" s="26" t="s">
        <v>28</v>
      </c>
      <c r="Q30" s="26" t="s">
        <v>73</v>
      </c>
      <c r="R30" s="33" t="s">
        <v>171</v>
      </c>
    </row>
    <row r="31" customFormat="false" ht="15" hidden="false" customHeight="false" outlineLevel="0" collapsed="false">
      <c r="A31" s="25" t="s">
        <v>172</v>
      </c>
      <c r="B31" s="26" t="s">
        <v>173</v>
      </c>
      <c r="C31" s="26" t="s">
        <v>18</v>
      </c>
      <c r="D31" s="26" t="s">
        <v>71</v>
      </c>
      <c r="E31" s="27" t="s">
        <v>94</v>
      </c>
      <c r="F31" s="27" t="s">
        <v>21</v>
      </c>
      <c r="G31" s="28" t="n">
        <v>30000</v>
      </c>
      <c r="H31" s="27" t="s">
        <v>84</v>
      </c>
      <c r="I31" s="29" t="n">
        <f aca="false">G31*INDEX(Settings!$B$6:$B$8,MATCH(H31,Settings!$A$6:$A$8,0))</f>
        <v>25500</v>
      </c>
      <c r="J31" s="30" t="n">
        <f aca="false">INDEX(Settings!$C$11:$C$16,MATCH(F31,Settings!$A$11:$A$16,0))</f>
        <v>0.75</v>
      </c>
      <c r="K31" s="29" t="n">
        <f aca="false">I31*J31</f>
        <v>19125</v>
      </c>
      <c r="L31" s="31" t="n">
        <v>46295</v>
      </c>
      <c r="M31" s="32" t="n">
        <f aca="false">Settings!$B$3-DATE(2026,7,21)</f>
        <v>58</v>
      </c>
      <c r="N31" s="31" t="n">
        <v>46146</v>
      </c>
      <c r="O31" s="26" t="s">
        <v>174</v>
      </c>
      <c r="P31" s="26" t="s">
        <v>32</v>
      </c>
      <c r="Q31" s="26" t="s">
        <v>175</v>
      </c>
      <c r="R31" s="33" t="s">
        <v>176</v>
      </c>
    </row>
    <row r="32" customFormat="false" ht="15" hidden="false" customHeight="false" outlineLevel="0" collapsed="false">
      <c r="A32" s="25" t="s">
        <v>177</v>
      </c>
      <c r="B32" s="26" t="s">
        <v>178</v>
      </c>
      <c r="C32" s="26" t="s">
        <v>18</v>
      </c>
      <c r="D32" s="26" t="s">
        <v>37</v>
      </c>
      <c r="E32" s="27" t="s">
        <v>59</v>
      </c>
      <c r="F32" s="27" t="s">
        <v>21</v>
      </c>
      <c r="G32" s="28" t="n">
        <v>30000</v>
      </c>
      <c r="H32" s="27" t="s">
        <v>60</v>
      </c>
      <c r="I32" s="29" t="n">
        <f aca="false">G32*INDEX(Settings!$B$6:$B$8,MATCH(H32,Settings!$A$6:$A$8,0))</f>
        <v>22200</v>
      </c>
      <c r="J32" s="30" t="n">
        <f aca="false">INDEX(Settings!$C$11:$C$16,MATCH(F32,Settings!$A$11:$A$16,0))</f>
        <v>0.75</v>
      </c>
      <c r="K32" s="29" t="n">
        <f aca="false">I32*J32</f>
        <v>16650</v>
      </c>
      <c r="L32" s="31" t="n">
        <v>46356</v>
      </c>
      <c r="M32" s="32" t="n">
        <f aca="false">Settings!$B$3-DATE(2026,6,24)</f>
        <v>85</v>
      </c>
      <c r="N32" s="31" t="n">
        <v>46197</v>
      </c>
      <c r="O32" s="26" t="s">
        <v>179</v>
      </c>
      <c r="P32" s="26" t="s">
        <v>36</v>
      </c>
      <c r="Q32" s="26" t="s">
        <v>180</v>
      </c>
      <c r="R32" s="33" t="s">
        <v>181</v>
      </c>
    </row>
    <row r="33" customFormat="false" ht="15" hidden="false" customHeight="false" outlineLevel="0" collapsed="false">
      <c r="A33" s="25" t="s">
        <v>163</v>
      </c>
      <c r="B33" s="26" t="s">
        <v>182</v>
      </c>
      <c r="C33" s="26" t="s">
        <v>18</v>
      </c>
      <c r="D33" s="26" t="s">
        <v>31</v>
      </c>
      <c r="E33" s="27" t="s">
        <v>59</v>
      </c>
      <c r="F33" s="27" t="s">
        <v>21</v>
      </c>
      <c r="G33" s="28" t="n">
        <v>30000</v>
      </c>
      <c r="H33" s="27" t="s">
        <v>60</v>
      </c>
      <c r="I33" s="29" t="n">
        <f aca="false">G33*INDEX(Settings!$B$6:$B$8,MATCH(H33,Settings!$A$6:$A$8,0))</f>
        <v>22200</v>
      </c>
      <c r="J33" s="30" t="n">
        <f aca="false">INDEX(Settings!$C$11:$C$16,MATCH(F33,Settings!$A$11:$A$16,0))</f>
        <v>0.75</v>
      </c>
      <c r="K33" s="29" t="n">
        <f aca="false">I33*J33</f>
        <v>16650</v>
      </c>
      <c r="L33" s="31" t="n">
        <v>46286</v>
      </c>
      <c r="M33" s="32" t="n">
        <f aca="false">Settings!$B$3-DATE(2026,9,7)</f>
        <v>10</v>
      </c>
      <c r="N33" s="31" t="n">
        <v>46272</v>
      </c>
      <c r="O33" s="26" t="s">
        <v>165</v>
      </c>
      <c r="P33" s="26" t="s">
        <v>30</v>
      </c>
      <c r="Q33" s="26" t="s">
        <v>166</v>
      </c>
      <c r="R33" s="33" t="s">
        <v>167</v>
      </c>
    </row>
    <row r="34" customFormat="false" ht="15" hidden="false" customHeight="false" outlineLevel="0" collapsed="false">
      <c r="A34" s="25" t="s">
        <v>110</v>
      </c>
      <c r="B34" s="26" t="s">
        <v>183</v>
      </c>
      <c r="C34" s="26" t="s">
        <v>14</v>
      </c>
      <c r="D34" s="26" t="s">
        <v>71</v>
      </c>
      <c r="E34" s="27" t="s">
        <v>59</v>
      </c>
      <c r="F34" s="27" t="s">
        <v>21</v>
      </c>
      <c r="G34" s="28" t="n">
        <v>30000</v>
      </c>
      <c r="H34" s="27" t="s">
        <v>60</v>
      </c>
      <c r="I34" s="29" t="n">
        <f aca="false">G34*INDEX(Settings!$B$6:$B$8,MATCH(H34,Settings!$A$6:$A$8,0))</f>
        <v>22200</v>
      </c>
      <c r="J34" s="30" t="n">
        <f aca="false">INDEX(Settings!$C$11:$C$16,MATCH(F34,Settings!$A$11:$A$16,0))</f>
        <v>0.75</v>
      </c>
      <c r="K34" s="29" t="n">
        <f aca="false">I34*J34</f>
        <v>16650</v>
      </c>
      <c r="L34" s="31" t="n">
        <v>46295</v>
      </c>
      <c r="M34" s="32" t="n">
        <f aca="false">Settings!$B$3-DATE(2026,9,10)</f>
        <v>7</v>
      </c>
      <c r="N34" s="31" t="n">
        <v>46275</v>
      </c>
      <c r="O34" s="26" t="s">
        <v>112</v>
      </c>
      <c r="P34" s="26" t="s">
        <v>28</v>
      </c>
      <c r="Q34" s="26" t="s">
        <v>73</v>
      </c>
      <c r="R34" s="33" t="s">
        <v>113</v>
      </c>
    </row>
    <row r="35" customFormat="false" ht="15" hidden="false" customHeight="false" outlineLevel="0" collapsed="false">
      <c r="A35" s="25" t="s">
        <v>124</v>
      </c>
      <c r="B35" s="26" t="s">
        <v>184</v>
      </c>
      <c r="C35" s="26" t="s">
        <v>14</v>
      </c>
      <c r="D35" s="26" t="s">
        <v>27</v>
      </c>
      <c r="E35" s="27" t="s">
        <v>59</v>
      </c>
      <c r="F35" s="27" t="s">
        <v>21</v>
      </c>
      <c r="G35" s="28" t="n">
        <v>20000</v>
      </c>
      <c r="H35" s="27" t="s">
        <v>84</v>
      </c>
      <c r="I35" s="29" t="n">
        <f aca="false">G35*INDEX(Settings!$B$6:$B$8,MATCH(H35,Settings!$A$6:$A$8,0))</f>
        <v>17000</v>
      </c>
      <c r="J35" s="30" t="n">
        <f aca="false">INDEX(Settings!$C$11:$C$16,MATCH(F35,Settings!$A$11:$A$16,0))</f>
        <v>0.75</v>
      </c>
      <c r="K35" s="29" t="n">
        <f aca="false">I35*J35</f>
        <v>12750</v>
      </c>
      <c r="L35" s="31"/>
      <c r="M35" s="32" t="n">
        <f aca="false">Settings!$B$3-DATE(2026,9,10)</f>
        <v>7</v>
      </c>
      <c r="N35" s="31" t="n">
        <v>46273</v>
      </c>
      <c r="O35" s="26" t="s">
        <v>126</v>
      </c>
      <c r="P35" s="26" t="s">
        <v>28</v>
      </c>
      <c r="Q35" s="26" t="s">
        <v>73</v>
      </c>
      <c r="R35" s="33" t="s">
        <v>127</v>
      </c>
    </row>
    <row r="36" customFormat="false" ht="15" hidden="false" customHeight="false" outlineLevel="0" collapsed="false">
      <c r="A36" s="25" t="s">
        <v>185</v>
      </c>
      <c r="B36" s="26" t="s">
        <v>186</v>
      </c>
      <c r="C36" s="26" t="s">
        <v>16</v>
      </c>
      <c r="D36" s="26" t="s">
        <v>35</v>
      </c>
      <c r="E36" s="27" t="s">
        <v>59</v>
      </c>
      <c r="F36" s="27" t="s">
        <v>21</v>
      </c>
      <c r="G36" s="28" t="n">
        <v>15000</v>
      </c>
      <c r="H36" s="27" t="s">
        <v>77</v>
      </c>
      <c r="I36" s="29" t="n">
        <f aca="false">G36*INDEX(Settings!$B$6:$B$8,MATCH(H36,Settings!$A$6:$A$8,0))</f>
        <v>15000</v>
      </c>
      <c r="J36" s="30" t="n">
        <f aca="false">INDEX(Settings!$C$11:$C$16,MATCH(F36,Settings!$A$11:$A$16,0))</f>
        <v>0.75</v>
      </c>
      <c r="K36" s="29" t="n">
        <f aca="false">I36*J36</f>
        <v>11250</v>
      </c>
      <c r="L36" s="31" t="n">
        <v>46290</v>
      </c>
      <c r="M36" s="32" t="n">
        <f aca="false">Settings!$B$3-DATE(2026,7,9)</f>
        <v>70</v>
      </c>
      <c r="N36" s="31" t="n">
        <v>46148</v>
      </c>
      <c r="O36" s="26" t="s">
        <v>187</v>
      </c>
      <c r="P36" s="26" t="s">
        <v>28</v>
      </c>
      <c r="Q36" s="26" t="s">
        <v>188</v>
      </c>
      <c r="R36" s="33" t="s">
        <v>189</v>
      </c>
    </row>
    <row r="37" customFormat="false" ht="15" hidden="false" customHeight="false" outlineLevel="0" collapsed="false">
      <c r="A37" s="25" t="s">
        <v>190</v>
      </c>
      <c r="B37" s="26" t="s">
        <v>191</v>
      </c>
      <c r="C37" s="26" t="s">
        <v>16</v>
      </c>
      <c r="D37" s="26" t="s">
        <v>33</v>
      </c>
      <c r="E37" s="27" t="s">
        <v>59</v>
      </c>
      <c r="F37" s="27" t="s">
        <v>19</v>
      </c>
      <c r="G37" s="28" t="n">
        <v>250000</v>
      </c>
      <c r="H37" s="27" t="s">
        <v>77</v>
      </c>
      <c r="I37" s="29" t="n">
        <f aca="false">G37*INDEX(Settings!$B$6:$B$8,MATCH(H37,Settings!$A$6:$A$8,0))</f>
        <v>250000</v>
      </c>
      <c r="J37" s="30" t="n">
        <f aca="false">INDEX(Settings!$C$11:$C$16,MATCH(F37,Settings!$A$11:$A$16,0))</f>
        <v>0.6</v>
      </c>
      <c r="K37" s="29" t="n">
        <f aca="false">I37*J37</f>
        <v>150000</v>
      </c>
      <c r="L37" s="31" t="n">
        <v>46312</v>
      </c>
      <c r="M37" s="32" t="n">
        <f aca="false">Settings!$B$3-DATE(2026,8,19)</f>
        <v>29</v>
      </c>
      <c r="N37" s="31" t="n">
        <v>46253</v>
      </c>
      <c r="O37" s="26" t="s">
        <v>192</v>
      </c>
      <c r="P37" s="26" t="s">
        <v>32</v>
      </c>
      <c r="Q37" s="26" t="s">
        <v>99</v>
      </c>
      <c r="R37" s="33" t="s">
        <v>193</v>
      </c>
    </row>
    <row r="38" customFormat="false" ht="15" hidden="false" customHeight="false" outlineLevel="0" collapsed="false">
      <c r="A38" s="25" t="s">
        <v>124</v>
      </c>
      <c r="B38" s="26" t="s">
        <v>194</v>
      </c>
      <c r="C38" s="26" t="s">
        <v>14</v>
      </c>
      <c r="D38" s="26" t="s">
        <v>27</v>
      </c>
      <c r="E38" s="27" t="s">
        <v>59</v>
      </c>
      <c r="F38" s="27" t="s">
        <v>19</v>
      </c>
      <c r="G38" s="28" t="n">
        <v>150000</v>
      </c>
      <c r="H38" s="27" t="s">
        <v>77</v>
      </c>
      <c r="I38" s="29" t="n">
        <f aca="false">G38*INDEX(Settings!$B$6:$B$8,MATCH(H38,Settings!$A$6:$A$8,0))</f>
        <v>150000</v>
      </c>
      <c r="J38" s="30" t="n">
        <f aca="false">INDEX(Settings!$C$11:$C$16,MATCH(F38,Settings!$A$11:$A$16,0))</f>
        <v>0.6</v>
      </c>
      <c r="K38" s="29" t="n">
        <f aca="false">I38*J38</f>
        <v>90000</v>
      </c>
      <c r="L38" s="31" t="n">
        <v>46280</v>
      </c>
      <c r="M38" s="32" t="n">
        <f aca="false">Settings!$B$3-DATE(2026,8,31)</f>
        <v>17</v>
      </c>
      <c r="N38" s="31" t="n">
        <v>46177</v>
      </c>
      <c r="O38" s="26" t="s">
        <v>195</v>
      </c>
      <c r="P38" s="26" t="s">
        <v>28</v>
      </c>
      <c r="Q38" s="26" t="s">
        <v>73</v>
      </c>
      <c r="R38" s="33" t="s">
        <v>127</v>
      </c>
    </row>
    <row r="39" customFormat="false" ht="15" hidden="false" customHeight="false" outlineLevel="0" collapsed="false">
      <c r="A39" s="25" t="s">
        <v>196</v>
      </c>
      <c r="B39" s="26" t="s">
        <v>197</v>
      </c>
      <c r="C39" s="26" t="s">
        <v>18</v>
      </c>
      <c r="D39" s="26" t="s">
        <v>71</v>
      </c>
      <c r="E39" s="27" t="s">
        <v>94</v>
      </c>
      <c r="F39" s="27" t="s">
        <v>19</v>
      </c>
      <c r="G39" s="28" t="n">
        <v>140000</v>
      </c>
      <c r="H39" s="27" t="s">
        <v>60</v>
      </c>
      <c r="I39" s="29" t="n">
        <f aca="false">G39*INDEX(Settings!$B$6:$B$8,MATCH(H39,Settings!$A$6:$A$8,0))</f>
        <v>103600</v>
      </c>
      <c r="J39" s="30" t="n">
        <f aca="false">INDEX(Settings!$C$11:$C$16,MATCH(F39,Settings!$A$11:$A$16,0))</f>
        <v>0.6</v>
      </c>
      <c r="K39" s="29" t="n">
        <f aca="false">I39*J39</f>
        <v>62160</v>
      </c>
      <c r="L39" s="31" t="n">
        <v>46356</v>
      </c>
      <c r="M39" s="32" t="n">
        <f aca="false">Settings!$B$3-DATE(2026,8,5)</f>
        <v>43</v>
      </c>
      <c r="N39" s="31" t="n">
        <v>46216</v>
      </c>
      <c r="O39" s="26" t="s">
        <v>198</v>
      </c>
      <c r="P39" s="26" t="s">
        <v>40</v>
      </c>
      <c r="Q39" s="26" t="s">
        <v>199</v>
      </c>
      <c r="R39" s="33" t="s">
        <v>200</v>
      </c>
    </row>
    <row r="40" customFormat="false" ht="15" hidden="false" customHeight="false" outlineLevel="0" collapsed="false">
      <c r="A40" s="25" t="s">
        <v>201</v>
      </c>
      <c r="B40" s="26" t="s">
        <v>202</v>
      </c>
      <c r="C40" s="26" t="s">
        <v>18</v>
      </c>
      <c r="D40" s="26" t="s">
        <v>71</v>
      </c>
      <c r="E40" s="27" t="s">
        <v>94</v>
      </c>
      <c r="F40" s="27" t="s">
        <v>19</v>
      </c>
      <c r="G40" s="28" t="n">
        <v>100000</v>
      </c>
      <c r="H40" s="27" t="s">
        <v>77</v>
      </c>
      <c r="I40" s="29" t="n">
        <f aca="false">G40*INDEX(Settings!$B$6:$B$8,MATCH(H40,Settings!$A$6:$A$8,0))</f>
        <v>100000</v>
      </c>
      <c r="J40" s="30" t="n">
        <f aca="false">INDEX(Settings!$C$11:$C$16,MATCH(F40,Settings!$A$11:$A$16,0))</f>
        <v>0.6</v>
      </c>
      <c r="K40" s="29" t="n">
        <f aca="false">I40*J40</f>
        <v>60000</v>
      </c>
      <c r="L40" s="31" t="n">
        <v>46356</v>
      </c>
      <c r="M40" s="32" t="n">
        <f aca="false">Settings!$B$3-DATE(2026,2,5)</f>
        <v>224</v>
      </c>
      <c r="N40" s="31" t="n">
        <v>46052</v>
      </c>
      <c r="O40" s="26" t="s">
        <v>203</v>
      </c>
      <c r="P40" s="26" t="s">
        <v>41</v>
      </c>
      <c r="Q40" s="26" t="s">
        <v>204</v>
      </c>
      <c r="R40" s="33" t="s">
        <v>205</v>
      </c>
    </row>
    <row r="41" customFormat="false" ht="15" hidden="false" customHeight="false" outlineLevel="0" collapsed="false">
      <c r="A41" s="25" t="s">
        <v>206</v>
      </c>
      <c r="B41" s="26" t="s">
        <v>207</v>
      </c>
      <c r="C41" s="26" t="s">
        <v>18</v>
      </c>
      <c r="D41" s="26" t="s">
        <v>71</v>
      </c>
      <c r="E41" s="27" t="s">
        <v>94</v>
      </c>
      <c r="F41" s="27" t="s">
        <v>19</v>
      </c>
      <c r="G41" s="28" t="n">
        <v>90000</v>
      </c>
      <c r="H41" s="27" t="s">
        <v>77</v>
      </c>
      <c r="I41" s="29" t="n">
        <f aca="false">G41*INDEX(Settings!$B$6:$B$8,MATCH(H41,Settings!$A$6:$A$8,0))</f>
        <v>90000</v>
      </c>
      <c r="J41" s="30" t="n">
        <f aca="false">INDEX(Settings!$C$11:$C$16,MATCH(F41,Settings!$A$11:$A$16,0))</f>
        <v>0.6</v>
      </c>
      <c r="K41" s="29" t="n">
        <f aca="false">I41*J41</f>
        <v>54000</v>
      </c>
      <c r="L41" s="31" t="n">
        <v>46326</v>
      </c>
      <c r="M41" s="32" t="n">
        <f aca="false">Settings!$B$3-DATE(2026,9,17)</f>
        <v>0</v>
      </c>
      <c r="N41" s="31" t="n">
        <v>46272</v>
      </c>
      <c r="O41" s="26" t="s">
        <v>208</v>
      </c>
      <c r="P41" s="26" t="s">
        <v>32</v>
      </c>
      <c r="Q41" s="26" t="s">
        <v>209</v>
      </c>
      <c r="R41" s="33" t="s">
        <v>210</v>
      </c>
    </row>
    <row r="42" customFormat="false" ht="15" hidden="false" customHeight="false" outlineLevel="0" collapsed="false">
      <c r="A42" s="25" t="s">
        <v>211</v>
      </c>
      <c r="B42" s="26" t="s">
        <v>212</v>
      </c>
      <c r="C42" s="26" t="s">
        <v>18</v>
      </c>
      <c r="D42" s="26" t="s">
        <v>71</v>
      </c>
      <c r="E42" s="27" t="s">
        <v>94</v>
      </c>
      <c r="F42" s="27" t="s">
        <v>19</v>
      </c>
      <c r="G42" s="28" t="n">
        <v>90000</v>
      </c>
      <c r="H42" s="27" t="s">
        <v>84</v>
      </c>
      <c r="I42" s="29" t="n">
        <f aca="false">G42*INDEX(Settings!$B$6:$B$8,MATCH(H42,Settings!$A$6:$A$8,0))</f>
        <v>76500</v>
      </c>
      <c r="J42" s="30" t="n">
        <f aca="false">INDEX(Settings!$C$11:$C$16,MATCH(F42,Settings!$A$11:$A$16,0))</f>
        <v>0.6</v>
      </c>
      <c r="K42" s="29" t="n">
        <f aca="false">I42*J42</f>
        <v>45900</v>
      </c>
      <c r="L42" s="31" t="n">
        <v>46295</v>
      </c>
      <c r="M42" s="32" t="n">
        <f aca="false">Settings!$B$3-DATE(2026,3,19)</f>
        <v>182</v>
      </c>
      <c r="N42" s="31" t="n">
        <v>45973</v>
      </c>
      <c r="O42" s="26" t="s">
        <v>213</v>
      </c>
      <c r="P42" s="26" t="s">
        <v>36</v>
      </c>
      <c r="Q42" s="26" t="s">
        <v>214</v>
      </c>
      <c r="R42" s="33" t="s">
        <v>215</v>
      </c>
    </row>
    <row r="43" customFormat="false" ht="15" hidden="false" customHeight="false" outlineLevel="0" collapsed="false">
      <c r="A43" s="25" t="s">
        <v>124</v>
      </c>
      <c r="B43" s="26" t="s">
        <v>216</v>
      </c>
      <c r="C43" s="26" t="s">
        <v>14</v>
      </c>
      <c r="D43" s="26" t="s">
        <v>27</v>
      </c>
      <c r="E43" s="27" t="s">
        <v>59</v>
      </c>
      <c r="F43" s="27" t="s">
        <v>19</v>
      </c>
      <c r="G43" s="28" t="n">
        <v>75000</v>
      </c>
      <c r="H43" s="27" t="s">
        <v>77</v>
      </c>
      <c r="I43" s="29" t="n">
        <f aca="false">G43*INDEX(Settings!$B$6:$B$8,MATCH(H43,Settings!$A$6:$A$8,0))</f>
        <v>75000</v>
      </c>
      <c r="J43" s="30" t="n">
        <f aca="false">INDEX(Settings!$C$11:$C$16,MATCH(F43,Settings!$A$11:$A$16,0))</f>
        <v>0.6</v>
      </c>
      <c r="K43" s="29" t="n">
        <f aca="false">I43*J43</f>
        <v>45000</v>
      </c>
      <c r="L43" s="31" t="n">
        <v>46325</v>
      </c>
      <c r="M43" s="32" t="n">
        <f aca="false">Settings!$B$3-DATE(2026,9,10)</f>
        <v>7</v>
      </c>
      <c r="N43" s="31" t="n">
        <v>46252</v>
      </c>
      <c r="O43" s="26" t="s">
        <v>195</v>
      </c>
      <c r="P43" s="26" t="s">
        <v>28</v>
      </c>
      <c r="Q43" s="26" t="s">
        <v>73</v>
      </c>
      <c r="R43" s="33" t="s">
        <v>127</v>
      </c>
    </row>
    <row r="44" customFormat="false" ht="15" hidden="false" customHeight="false" outlineLevel="0" collapsed="false">
      <c r="A44" s="25" t="s">
        <v>124</v>
      </c>
      <c r="B44" s="26" t="s">
        <v>217</v>
      </c>
      <c r="C44" s="26" t="s">
        <v>14</v>
      </c>
      <c r="D44" s="26" t="s">
        <v>27</v>
      </c>
      <c r="E44" s="27" t="s">
        <v>59</v>
      </c>
      <c r="F44" s="27" t="s">
        <v>19</v>
      </c>
      <c r="G44" s="28" t="n">
        <v>75000</v>
      </c>
      <c r="H44" s="27" t="s">
        <v>77</v>
      </c>
      <c r="I44" s="29" t="n">
        <f aca="false">G44*INDEX(Settings!$B$6:$B$8,MATCH(H44,Settings!$A$6:$A$8,0))</f>
        <v>75000</v>
      </c>
      <c r="J44" s="30" t="n">
        <f aca="false">INDEX(Settings!$C$11:$C$16,MATCH(F44,Settings!$A$11:$A$16,0))</f>
        <v>0.6</v>
      </c>
      <c r="K44" s="29" t="n">
        <f aca="false">I44*J44</f>
        <v>45000</v>
      </c>
      <c r="L44" s="31" t="n">
        <v>46325</v>
      </c>
      <c r="M44" s="32" t="n">
        <f aca="false">Settings!$B$3-DATE(2026,9,10)</f>
        <v>7</v>
      </c>
      <c r="N44" s="31" t="n">
        <v>46252</v>
      </c>
      <c r="O44" s="26" t="s">
        <v>195</v>
      </c>
      <c r="P44" s="26" t="s">
        <v>28</v>
      </c>
      <c r="Q44" s="26" t="s">
        <v>73</v>
      </c>
      <c r="R44" s="33" t="s">
        <v>127</v>
      </c>
    </row>
    <row r="45" customFormat="false" ht="15" hidden="false" customHeight="false" outlineLevel="0" collapsed="false">
      <c r="A45" s="25" t="s">
        <v>218</v>
      </c>
      <c r="B45" s="26" t="s">
        <v>219</v>
      </c>
      <c r="C45" s="26" t="s">
        <v>18</v>
      </c>
      <c r="D45" s="26" t="s">
        <v>71</v>
      </c>
      <c r="E45" s="27" t="s">
        <v>94</v>
      </c>
      <c r="F45" s="27" t="s">
        <v>19</v>
      </c>
      <c r="G45" s="28" t="n">
        <v>100000</v>
      </c>
      <c r="H45" s="27" t="s">
        <v>60</v>
      </c>
      <c r="I45" s="29" t="n">
        <f aca="false">G45*INDEX(Settings!$B$6:$B$8,MATCH(H45,Settings!$A$6:$A$8,0))</f>
        <v>74000</v>
      </c>
      <c r="J45" s="30" t="n">
        <f aca="false">INDEX(Settings!$C$11:$C$16,MATCH(F45,Settings!$A$11:$A$16,0))</f>
        <v>0.6</v>
      </c>
      <c r="K45" s="29" t="n">
        <f aca="false">I45*J45</f>
        <v>44400</v>
      </c>
      <c r="L45" s="31" t="n">
        <v>46325</v>
      </c>
      <c r="M45" s="32" t="n">
        <f aca="false">Settings!$B$3-DATE(2025,12,11)</f>
        <v>280</v>
      </c>
      <c r="N45" s="31" t="n">
        <v>45996</v>
      </c>
      <c r="O45" s="26" t="s">
        <v>220</v>
      </c>
      <c r="P45" s="26" t="s">
        <v>32</v>
      </c>
      <c r="Q45" s="26" t="s">
        <v>221</v>
      </c>
      <c r="R45" s="33" t="s">
        <v>222</v>
      </c>
    </row>
    <row r="46" customFormat="false" ht="15" hidden="false" customHeight="false" outlineLevel="0" collapsed="false">
      <c r="A46" s="25" t="s">
        <v>223</v>
      </c>
      <c r="B46" s="26" t="s">
        <v>223</v>
      </c>
      <c r="C46" s="26" t="s">
        <v>16</v>
      </c>
      <c r="D46" s="26" t="s">
        <v>71</v>
      </c>
      <c r="E46" s="27" t="s">
        <v>94</v>
      </c>
      <c r="F46" s="27" t="s">
        <v>19</v>
      </c>
      <c r="G46" s="28" t="n">
        <v>100000</v>
      </c>
      <c r="H46" s="27" t="s">
        <v>60</v>
      </c>
      <c r="I46" s="29" t="n">
        <f aca="false">G46*INDEX(Settings!$B$6:$B$8,MATCH(H46,Settings!$A$6:$A$8,0))</f>
        <v>74000</v>
      </c>
      <c r="J46" s="30" t="n">
        <f aca="false">INDEX(Settings!$C$11:$C$16,MATCH(F46,Settings!$A$11:$A$16,0))</f>
        <v>0.6</v>
      </c>
      <c r="K46" s="29" t="n">
        <f aca="false">I46*J46</f>
        <v>44400</v>
      </c>
      <c r="L46" s="31" t="n">
        <v>46276</v>
      </c>
      <c r="M46" s="32" t="n">
        <f aca="false">Settings!$B$3-DATE(2026,6,10)</f>
        <v>99</v>
      </c>
      <c r="N46" s="31" t="n">
        <v>46128</v>
      </c>
      <c r="O46" s="26" t="s">
        <v>224</v>
      </c>
      <c r="P46" s="26" t="s">
        <v>41</v>
      </c>
      <c r="Q46" s="26" t="s">
        <v>225</v>
      </c>
      <c r="R46" s="33" t="s">
        <v>226</v>
      </c>
    </row>
    <row r="47" customFormat="false" ht="15" hidden="false" customHeight="false" outlineLevel="0" collapsed="false">
      <c r="A47" s="25" t="s">
        <v>227</v>
      </c>
      <c r="B47" s="26" t="s">
        <v>228</v>
      </c>
      <c r="C47" s="26" t="s">
        <v>18</v>
      </c>
      <c r="D47" s="26" t="s">
        <v>71</v>
      </c>
      <c r="E47" s="27" t="s">
        <v>94</v>
      </c>
      <c r="F47" s="27" t="s">
        <v>19</v>
      </c>
      <c r="G47" s="28" t="n">
        <v>100000</v>
      </c>
      <c r="H47" s="27" t="s">
        <v>60</v>
      </c>
      <c r="I47" s="29" t="n">
        <f aca="false">G47*INDEX(Settings!$B$6:$B$8,MATCH(H47,Settings!$A$6:$A$8,0))</f>
        <v>74000</v>
      </c>
      <c r="J47" s="30" t="n">
        <f aca="false">INDEX(Settings!$C$11:$C$16,MATCH(F47,Settings!$A$11:$A$16,0))</f>
        <v>0.6</v>
      </c>
      <c r="K47" s="29" t="n">
        <f aca="false">I47*J47</f>
        <v>44400</v>
      </c>
      <c r="L47" s="31" t="n">
        <v>46295</v>
      </c>
      <c r="M47" s="32" t="n">
        <f aca="false">Settings!$B$3-DATE(2026,8,28)</f>
        <v>20</v>
      </c>
      <c r="N47" s="31" t="n">
        <v>46174</v>
      </c>
      <c r="O47" s="26" t="s">
        <v>229</v>
      </c>
      <c r="P47" s="26" t="s">
        <v>38</v>
      </c>
      <c r="Q47" s="26" t="s">
        <v>230</v>
      </c>
      <c r="R47" s="33" t="s">
        <v>231</v>
      </c>
    </row>
    <row r="48" customFormat="false" ht="15" hidden="false" customHeight="false" outlineLevel="0" collapsed="false">
      <c r="A48" s="25" t="s">
        <v>232</v>
      </c>
      <c r="B48" s="26" t="s">
        <v>233</v>
      </c>
      <c r="C48" s="26" t="s">
        <v>16</v>
      </c>
      <c r="D48" s="26" t="s">
        <v>71</v>
      </c>
      <c r="E48" s="27" t="s">
        <v>94</v>
      </c>
      <c r="F48" s="27" t="s">
        <v>19</v>
      </c>
      <c r="G48" s="28" t="n">
        <v>100000</v>
      </c>
      <c r="H48" s="27" t="s">
        <v>60</v>
      </c>
      <c r="I48" s="29" t="n">
        <f aca="false">G48*INDEX(Settings!$B$6:$B$8,MATCH(H48,Settings!$A$6:$A$8,0))</f>
        <v>74000</v>
      </c>
      <c r="J48" s="30" t="n">
        <f aca="false">INDEX(Settings!$C$11:$C$16,MATCH(F48,Settings!$A$11:$A$16,0))</f>
        <v>0.6</v>
      </c>
      <c r="K48" s="29" t="n">
        <f aca="false">I48*J48</f>
        <v>44400</v>
      </c>
      <c r="L48" s="31" t="n">
        <v>46339</v>
      </c>
      <c r="M48" s="32" t="n">
        <f aca="false">Settings!$B$3-DATE(2026,8,16)</f>
        <v>32</v>
      </c>
      <c r="N48" s="31" t="n">
        <v>46213</v>
      </c>
      <c r="O48" s="26" t="s">
        <v>234</v>
      </c>
      <c r="P48" s="26" t="s">
        <v>28</v>
      </c>
      <c r="Q48" s="26" t="s">
        <v>235</v>
      </c>
      <c r="R48" s="33" t="s">
        <v>236</v>
      </c>
    </row>
    <row r="49" customFormat="false" ht="15" hidden="false" customHeight="false" outlineLevel="0" collapsed="false">
      <c r="A49" s="25" t="s">
        <v>237</v>
      </c>
      <c r="B49" s="26" t="s">
        <v>238</v>
      </c>
      <c r="C49" s="26" t="s">
        <v>16</v>
      </c>
      <c r="D49" s="26" t="s">
        <v>33</v>
      </c>
      <c r="E49" s="27" t="s">
        <v>59</v>
      </c>
      <c r="F49" s="27" t="s">
        <v>19</v>
      </c>
      <c r="G49" s="28" t="n">
        <v>100000</v>
      </c>
      <c r="H49" s="27" t="s">
        <v>60</v>
      </c>
      <c r="I49" s="29" t="n">
        <f aca="false">G49*INDEX(Settings!$B$6:$B$8,MATCH(H49,Settings!$A$6:$A$8,0))</f>
        <v>74000</v>
      </c>
      <c r="J49" s="30" t="n">
        <f aca="false">INDEX(Settings!$C$11:$C$16,MATCH(F49,Settings!$A$11:$A$16,0))</f>
        <v>0.6</v>
      </c>
      <c r="K49" s="29" t="n">
        <f aca="false">I49*J49</f>
        <v>44400</v>
      </c>
      <c r="L49" s="31"/>
      <c r="M49" s="32" t="n">
        <f aca="false">Settings!$B$3-DATE(2026,9,2)</f>
        <v>15</v>
      </c>
      <c r="N49" s="31" t="n">
        <v>46267</v>
      </c>
      <c r="O49" s="26" t="s">
        <v>239</v>
      </c>
      <c r="P49" s="26" t="s">
        <v>30</v>
      </c>
      <c r="Q49" s="26" t="s">
        <v>240</v>
      </c>
      <c r="R49" s="33" t="s">
        <v>241</v>
      </c>
    </row>
    <row r="50" customFormat="false" ht="15" hidden="false" customHeight="false" outlineLevel="0" collapsed="false">
      <c r="A50" s="25" t="s">
        <v>242</v>
      </c>
      <c r="B50" s="26" t="s">
        <v>243</v>
      </c>
      <c r="C50" s="26" t="s">
        <v>16</v>
      </c>
      <c r="D50" s="26" t="s">
        <v>35</v>
      </c>
      <c r="E50" s="27" t="s">
        <v>59</v>
      </c>
      <c r="F50" s="27" t="s">
        <v>19</v>
      </c>
      <c r="G50" s="28" t="n">
        <v>80000</v>
      </c>
      <c r="H50" s="27" t="s">
        <v>84</v>
      </c>
      <c r="I50" s="29" t="n">
        <f aca="false">G50*INDEX(Settings!$B$6:$B$8,MATCH(H50,Settings!$A$6:$A$8,0))</f>
        <v>68000</v>
      </c>
      <c r="J50" s="30" t="n">
        <f aca="false">INDEX(Settings!$C$11:$C$16,MATCH(F50,Settings!$A$11:$A$16,0))</f>
        <v>0.6</v>
      </c>
      <c r="K50" s="29" t="n">
        <f aca="false">I50*J50</f>
        <v>40800</v>
      </c>
      <c r="L50" s="31" t="n">
        <v>46295</v>
      </c>
      <c r="M50" s="32" t="n">
        <f aca="false">Settings!$B$3-DATE(2026,3,18)</f>
        <v>183</v>
      </c>
      <c r="N50" s="31" t="n">
        <v>46000</v>
      </c>
      <c r="O50" s="26" t="s">
        <v>244</v>
      </c>
      <c r="P50" s="26" t="s">
        <v>36</v>
      </c>
      <c r="Q50" s="26" t="s">
        <v>245</v>
      </c>
      <c r="R50" s="33" t="s">
        <v>246</v>
      </c>
    </row>
    <row r="51" customFormat="false" ht="15" hidden="false" customHeight="false" outlineLevel="0" collapsed="false">
      <c r="A51" s="25" t="s">
        <v>247</v>
      </c>
      <c r="B51" s="26" t="s">
        <v>248</v>
      </c>
      <c r="C51" s="26" t="s">
        <v>18</v>
      </c>
      <c r="D51" s="26" t="s">
        <v>71</v>
      </c>
      <c r="E51" s="27" t="s">
        <v>94</v>
      </c>
      <c r="F51" s="27" t="s">
        <v>19</v>
      </c>
      <c r="G51" s="28" t="n">
        <v>90000</v>
      </c>
      <c r="H51" s="27" t="s">
        <v>60</v>
      </c>
      <c r="I51" s="29" t="n">
        <f aca="false">G51*INDEX(Settings!$B$6:$B$8,MATCH(H51,Settings!$A$6:$A$8,0))</f>
        <v>66600</v>
      </c>
      <c r="J51" s="30" t="n">
        <f aca="false">INDEX(Settings!$C$11:$C$16,MATCH(F51,Settings!$A$11:$A$16,0))</f>
        <v>0.6</v>
      </c>
      <c r="K51" s="29" t="n">
        <f aca="false">I51*J51</f>
        <v>39960</v>
      </c>
      <c r="L51" s="31" t="n">
        <v>46295</v>
      </c>
      <c r="M51" s="32" t="n">
        <f aca="false">Settings!$B$3-DATE(2026,9,14)</f>
        <v>3</v>
      </c>
      <c r="N51" s="31" t="n">
        <v>46253</v>
      </c>
      <c r="O51" s="26" t="s">
        <v>249</v>
      </c>
      <c r="P51" s="26" t="s">
        <v>30</v>
      </c>
      <c r="Q51" s="26" t="s">
        <v>250</v>
      </c>
      <c r="R51" s="33" t="s">
        <v>251</v>
      </c>
    </row>
    <row r="52" customFormat="false" ht="15" hidden="false" customHeight="false" outlineLevel="0" collapsed="false">
      <c r="A52" s="25" t="s">
        <v>252</v>
      </c>
      <c r="B52" s="26" t="s">
        <v>253</v>
      </c>
      <c r="C52" s="26" t="s">
        <v>16</v>
      </c>
      <c r="D52" s="26" t="s">
        <v>71</v>
      </c>
      <c r="E52" s="27" t="s">
        <v>59</v>
      </c>
      <c r="F52" s="27" t="s">
        <v>19</v>
      </c>
      <c r="G52" s="28" t="n">
        <v>60000</v>
      </c>
      <c r="H52" s="27" t="s">
        <v>77</v>
      </c>
      <c r="I52" s="29" t="n">
        <f aca="false">G52*INDEX(Settings!$B$6:$B$8,MATCH(H52,Settings!$A$6:$A$8,0))</f>
        <v>60000</v>
      </c>
      <c r="J52" s="30" t="n">
        <f aca="false">INDEX(Settings!$C$11:$C$16,MATCH(F52,Settings!$A$11:$A$16,0))</f>
        <v>0.6</v>
      </c>
      <c r="K52" s="29" t="n">
        <f aca="false">I52*J52</f>
        <v>36000</v>
      </c>
      <c r="L52" s="31" t="n">
        <v>46295</v>
      </c>
      <c r="M52" s="32" t="n">
        <f aca="false">Settings!$B$3-DATE(2026,8,28)</f>
        <v>20</v>
      </c>
      <c r="N52" s="31" t="n">
        <v>46148</v>
      </c>
      <c r="O52" s="26" t="s">
        <v>254</v>
      </c>
      <c r="P52" s="26" t="s">
        <v>28</v>
      </c>
      <c r="Q52" s="26" t="s">
        <v>235</v>
      </c>
      <c r="R52" s="33" t="s">
        <v>255</v>
      </c>
    </row>
    <row r="53" customFormat="false" ht="15" hidden="false" customHeight="false" outlineLevel="0" collapsed="false">
      <c r="A53" s="25" t="s">
        <v>256</v>
      </c>
      <c r="B53" s="26" t="s">
        <v>257</v>
      </c>
      <c r="C53" s="26" t="s">
        <v>16</v>
      </c>
      <c r="D53" s="26" t="s">
        <v>31</v>
      </c>
      <c r="E53" s="27" t="s">
        <v>59</v>
      </c>
      <c r="F53" s="27" t="s">
        <v>19</v>
      </c>
      <c r="G53" s="28" t="n">
        <v>60000</v>
      </c>
      <c r="H53" s="27" t="s">
        <v>60</v>
      </c>
      <c r="I53" s="29" t="n">
        <f aca="false">G53*INDEX(Settings!$B$6:$B$8,MATCH(H53,Settings!$A$6:$A$8,0))</f>
        <v>44400</v>
      </c>
      <c r="J53" s="30" t="n">
        <f aca="false">INDEX(Settings!$C$11:$C$16,MATCH(F53,Settings!$A$11:$A$16,0))</f>
        <v>0.6</v>
      </c>
      <c r="K53" s="29" t="n">
        <f aca="false">I53*J53</f>
        <v>26640</v>
      </c>
      <c r="L53" s="31" t="n">
        <v>46295</v>
      </c>
      <c r="M53" s="32" t="n">
        <f aca="false">Settings!$B$3-DATE(2026,9,7)</f>
        <v>10</v>
      </c>
      <c r="N53" s="31" t="n">
        <v>46262</v>
      </c>
      <c r="O53" s="26" t="s">
        <v>258</v>
      </c>
      <c r="P53" s="26" t="s">
        <v>36</v>
      </c>
      <c r="Q53" s="26" t="s">
        <v>259</v>
      </c>
      <c r="R53" s="33" t="s">
        <v>260</v>
      </c>
    </row>
    <row r="54" customFormat="false" ht="15" hidden="false" customHeight="false" outlineLevel="0" collapsed="false">
      <c r="A54" s="25" t="s">
        <v>261</v>
      </c>
      <c r="B54" s="26" t="s">
        <v>262</v>
      </c>
      <c r="C54" s="26" t="s">
        <v>18</v>
      </c>
      <c r="D54" s="26" t="s">
        <v>71</v>
      </c>
      <c r="E54" s="27" t="s">
        <v>94</v>
      </c>
      <c r="F54" s="27" t="s">
        <v>19</v>
      </c>
      <c r="G54" s="28" t="n">
        <v>60000</v>
      </c>
      <c r="H54" s="27" t="s">
        <v>60</v>
      </c>
      <c r="I54" s="29" t="n">
        <f aca="false">G54*INDEX(Settings!$B$6:$B$8,MATCH(H54,Settings!$A$6:$A$8,0))</f>
        <v>44400</v>
      </c>
      <c r="J54" s="30" t="n">
        <f aca="false">INDEX(Settings!$C$11:$C$16,MATCH(F54,Settings!$A$11:$A$16,0))</f>
        <v>0.6</v>
      </c>
      <c r="K54" s="29" t="n">
        <f aca="false">I54*J54</f>
        <v>26640</v>
      </c>
      <c r="L54" s="31" t="n">
        <v>46295</v>
      </c>
      <c r="M54" s="32" t="n">
        <f aca="false">Settings!$B$3-DATE(2026,9,11)</f>
        <v>6</v>
      </c>
      <c r="N54" s="31" t="n">
        <v>46276</v>
      </c>
      <c r="O54" s="26" t="s">
        <v>263</v>
      </c>
      <c r="P54" s="26" t="s">
        <v>38</v>
      </c>
      <c r="Q54" s="26" t="s">
        <v>117</v>
      </c>
      <c r="R54" s="33" t="s">
        <v>264</v>
      </c>
    </row>
    <row r="55" customFormat="false" ht="15" hidden="false" customHeight="false" outlineLevel="0" collapsed="false">
      <c r="A55" s="25" t="s">
        <v>265</v>
      </c>
      <c r="B55" s="26" t="s">
        <v>266</v>
      </c>
      <c r="C55" s="26" t="s">
        <v>14</v>
      </c>
      <c r="D55" s="26" t="s">
        <v>71</v>
      </c>
      <c r="E55" s="27" t="s">
        <v>94</v>
      </c>
      <c r="F55" s="27" t="s">
        <v>19</v>
      </c>
      <c r="G55" s="28" t="n">
        <v>50000</v>
      </c>
      <c r="H55" s="27" t="s">
        <v>60</v>
      </c>
      <c r="I55" s="29" t="n">
        <f aca="false">G55*INDEX(Settings!$B$6:$B$8,MATCH(H55,Settings!$A$6:$A$8,0))</f>
        <v>37000</v>
      </c>
      <c r="J55" s="30" t="n">
        <f aca="false">INDEX(Settings!$C$11:$C$16,MATCH(F55,Settings!$A$11:$A$16,0))</f>
        <v>0.6</v>
      </c>
      <c r="K55" s="29" t="n">
        <f aca="false">I55*J55</f>
        <v>22200</v>
      </c>
      <c r="L55" s="31" t="n">
        <v>46324</v>
      </c>
      <c r="M55" s="32" t="n">
        <f aca="false">Settings!$B$3-DATE(2026,8,13)</f>
        <v>35</v>
      </c>
      <c r="N55" s="31" t="n">
        <v>46049</v>
      </c>
      <c r="O55" s="26" t="s">
        <v>267</v>
      </c>
      <c r="P55" s="26" t="s">
        <v>28</v>
      </c>
      <c r="Q55" s="26" t="s">
        <v>268</v>
      </c>
      <c r="R55" s="33" t="s">
        <v>269</v>
      </c>
    </row>
    <row r="56" customFormat="false" ht="15" hidden="false" customHeight="false" outlineLevel="0" collapsed="false">
      <c r="A56" s="25" t="s">
        <v>270</v>
      </c>
      <c r="B56" s="26" t="s">
        <v>271</v>
      </c>
      <c r="C56" s="26" t="s">
        <v>16</v>
      </c>
      <c r="D56" s="26" t="s">
        <v>31</v>
      </c>
      <c r="E56" s="27" t="s">
        <v>59</v>
      </c>
      <c r="F56" s="27" t="s">
        <v>19</v>
      </c>
      <c r="G56" s="28" t="n">
        <v>50000</v>
      </c>
      <c r="H56" s="27" t="s">
        <v>60</v>
      </c>
      <c r="I56" s="29" t="n">
        <f aca="false">G56*INDEX(Settings!$B$6:$B$8,MATCH(H56,Settings!$A$6:$A$8,0))</f>
        <v>37000</v>
      </c>
      <c r="J56" s="30" t="n">
        <f aca="false">INDEX(Settings!$C$11:$C$16,MATCH(F56,Settings!$A$11:$A$16,0))</f>
        <v>0.6</v>
      </c>
      <c r="K56" s="29" t="n">
        <f aca="false">I56*J56</f>
        <v>22200</v>
      </c>
      <c r="L56" s="31" t="n">
        <v>46295</v>
      </c>
      <c r="M56" s="32" t="n">
        <f aca="false">Settings!$B$3-DATE(2026,6,10)</f>
        <v>99</v>
      </c>
      <c r="N56" s="31" t="n">
        <v>46128</v>
      </c>
      <c r="O56" s="26" t="s">
        <v>272</v>
      </c>
      <c r="P56" s="26" t="s">
        <v>28</v>
      </c>
      <c r="Q56" s="26" t="s">
        <v>273</v>
      </c>
      <c r="R56" s="33" t="s">
        <v>274</v>
      </c>
    </row>
    <row r="57" customFormat="false" ht="15" hidden="false" customHeight="false" outlineLevel="0" collapsed="false">
      <c r="A57" s="25" t="s">
        <v>275</v>
      </c>
      <c r="B57" s="26" t="s">
        <v>276</v>
      </c>
      <c r="C57" s="26" t="s">
        <v>18</v>
      </c>
      <c r="D57" s="26" t="s">
        <v>71</v>
      </c>
      <c r="E57" s="27" t="s">
        <v>94</v>
      </c>
      <c r="F57" s="27" t="s">
        <v>19</v>
      </c>
      <c r="G57" s="28" t="n">
        <v>25000</v>
      </c>
      <c r="H57" s="27" t="s">
        <v>77</v>
      </c>
      <c r="I57" s="29" t="n">
        <f aca="false">G57*INDEX(Settings!$B$6:$B$8,MATCH(H57,Settings!$A$6:$A$8,0))</f>
        <v>25000</v>
      </c>
      <c r="J57" s="30" t="n">
        <f aca="false">INDEX(Settings!$C$11:$C$16,MATCH(F57,Settings!$A$11:$A$16,0))</f>
        <v>0.6</v>
      </c>
      <c r="K57" s="29" t="n">
        <f aca="false">I57*J57</f>
        <v>15000</v>
      </c>
      <c r="L57" s="31" t="n">
        <v>46326</v>
      </c>
      <c r="M57" s="32" t="n">
        <f aca="false">Settings!$B$3-DATE(2026,9,8)</f>
        <v>9</v>
      </c>
      <c r="N57" s="31" t="n">
        <v>46100</v>
      </c>
      <c r="O57" s="26" t="s">
        <v>277</v>
      </c>
      <c r="P57" s="26" t="s">
        <v>32</v>
      </c>
      <c r="Q57" s="26" t="s">
        <v>278</v>
      </c>
      <c r="R57" s="33" t="s">
        <v>279</v>
      </c>
    </row>
    <row r="58" customFormat="false" ht="15" hidden="false" customHeight="false" outlineLevel="0" collapsed="false">
      <c r="A58" s="25" t="s">
        <v>280</v>
      </c>
      <c r="B58" s="26" t="s">
        <v>281</v>
      </c>
      <c r="C58" s="26" t="s">
        <v>14</v>
      </c>
      <c r="D58" s="26" t="s">
        <v>71</v>
      </c>
      <c r="E58" s="27" t="s">
        <v>94</v>
      </c>
      <c r="F58" s="27" t="s">
        <v>19</v>
      </c>
      <c r="G58" s="28" t="n">
        <v>30000</v>
      </c>
      <c r="H58" s="27" t="s">
        <v>60</v>
      </c>
      <c r="I58" s="29" t="n">
        <f aca="false">G58*INDEX(Settings!$B$6:$B$8,MATCH(H58,Settings!$A$6:$A$8,0))</f>
        <v>22200</v>
      </c>
      <c r="J58" s="30" t="n">
        <f aca="false">INDEX(Settings!$C$11:$C$16,MATCH(F58,Settings!$A$11:$A$16,0))</f>
        <v>0.6</v>
      </c>
      <c r="K58" s="29" t="n">
        <f aca="false">I58*J58</f>
        <v>13320</v>
      </c>
      <c r="L58" s="31" t="n">
        <v>46325</v>
      </c>
      <c r="M58" s="32" t="n">
        <f aca="false">Settings!$B$3-DATE(2026,9,7)</f>
        <v>10</v>
      </c>
      <c r="N58" s="31" t="n">
        <v>46153</v>
      </c>
      <c r="O58" s="26" t="s">
        <v>282</v>
      </c>
      <c r="P58" s="26" t="s">
        <v>41</v>
      </c>
      <c r="Q58" s="26" t="s">
        <v>283</v>
      </c>
      <c r="R58" s="33" t="s">
        <v>284</v>
      </c>
    </row>
    <row r="59" customFormat="false" ht="15" hidden="false" customHeight="false" outlineLevel="0" collapsed="false">
      <c r="A59" s="25" t="s">
        <v>285</v>
      </c>
      <c r="B59" s="26" t="s">
        <v>286</v>
      </c>
      <c r="C59" s="26" t="s">
        <v>14</v>
      </c>
      <c r="D59" s="26" t="s">
        <v>71</v>
      </c>
      <c r="E59" s="27" t="s">
        <v>94</v>
      </c>
      <c r="F59" s="27" t="s">
        <v>19</v>
      </c>
      <c r="G59" s="28" t="n">
        <v>30000</v>
      </c>
      <c r="H59" s="27" t="s">
        <v>60</v>
      </c>
      <c r="I59" s="29" t="n">
        <f aca="false">G59*INDEX(Settings!$B$6:$B$8,MATCH(H59,Settings!$A$6:$A$8,0))</f>
        <v>22200</v>
      </c>
      <c r="J59" s="30" t="n">
        <f aca="false">INDEX(Settings!$C$11:$C$16,MATCH(F59,Settings!$A$11:$A$16,0))</f>
        <v>0.6</v>
      </c>
      <c r="K59" s="29" t="n">
        <f aca="false">I59*J59</f>
        <v>13320</v>
      </c>
      <c r="L59" s="31" t="n">
        <v>46295</v>
      </c>
      <c r="M59" s="32" t="n">
        <f aca="false">Settings!$B$3-DATE(2026,9,15)</f>
        <v>2</v>
      </c>
      <c r="N59" s="31" t="n">
        <v>46253</v>
      </c>
      <c r="O59" s="26" t="s">
        <v>287</v>
      </c>
      <c r="P59" s="26" t="s">
        <v>42</v>
      </c>
      <c r="Q59" s="26" t="s">
        <v>288</v>
      </c>
      <c r="R59" s="33" t="s">
        <v>289</v>
      </c>
    </row>
    <row r="60" customFormat="false" ht="15" hidden="false" customHeight="false" outlineLevel="0" collapsed="false">
      <c r="A60" s="25" t="s">
        <v>290</v>
      </c>
      <c r="B60" s="26" t="s">
        <v>291</v>
      </c>
      <c r="C60" s="26" t="s">
        <v>18</v>
      </c>
      <c r="D60" s="26" t="s">
        <v>71</v>
      </c>
      <c r="E60" s="27" t="s">
        <v>94</v>
      </c>
      <c r="F60" s="27" t="s">
        <v>19</v>
      </c>
      <c r="G60" s="28" t="n">
        <v>30000</v>
      </c>
      <c r="H60" s="27" t="s">
        <v>60</v>
      </c>
      <c r="I60" s="29" t="n">
        <f aca="false">G60*INDEX(Settings!$B$6:$B$8,MATCH(H60,Settings!$A$6:$A$8,0))</f>
        <v>22200</v>
      </c>
      <c r="J60" s="30" t="n">
        <f aca="false">INDEX(Settings!$C$11:$C$16,MATCH(F60,Settings!$A$11:$A$16,0))</f>
        <v>0.6</v>
      </c>
      <c r="K60" s="29" t="n">
        <f aca="false">I60*J60</f>
        <v>13320</v>
      </c>
      <c r="L60" s="31" t="n">
        <v>46295</v>
      </c>
      <c r="M60" s="32" t="n">
        <f aca="false">Settings!$B$3-DATE(2026,9,17)</f>
        <v>0</v>
      </c>
      <c r="N60" s="31" t="n">
        <v>46279</v>
      </c>
      <c r="O60" s="26" t="s">
        <v>292</v>
      </c>
      <c r="P60" s="26" t="s">
        <v>30</v>
      </c>
      <c r="Q60" s="26" t="s">
        <v>293</v>
      </c>
      <c r="R60" s="33" t="s">
        <v>294</v>
      </c>
    </row>
    <row r="61" customFormat="false" ht="15" hidden="false" customHeight="false" outlineLevel="0" collapsed="false">
      <c r="A61" s="25" t="s">
        <v>295</v>
      </c>
      <c r="B61" s="26" t="s">
        <v>296</v>
      </c>
      <c r="C61" s="26" t="s">
        <v>18</v>
      </c>
      <c r="D61" s="26" t="s">
        <v>71</v>
      </c>
      <c r="E61" s="27" t="s">
        <v>94</v>
      </c>
      <c r="F61" s="27" t="s">
        <v>19</v>
      </c>
      <c r="G61" s="28" t="n">
        <v>20000</v>
      </c>
      <c r="H61" s="27" t="s">
        <v>77</v>
      </c>
      <c r="I61" s="29" t="n">
        <f aca="false">G61*INDEX(Settings!$B$6:$B$8,MATCH(H61,Settings!$A$6:$A$8,0))</f>
        <v>20000</v>
      </c>
      <c r="J61" s="30" t="n">
        <f aca="false">INDEX(Settings!$C$11:$C$16,MATCH(F61,Settings!$A$11:$A$16,0))</f>
        <v>0.6</v>
      </c>
      <c r="K61" s="29" t="n">
        <f aca="false">I61*J61</f>
        <v>12000</v>
      </c>
      <c r="L61" s="31" t="n">
        <v>46295</v>
      </c>
      <c r="M61" s="32" t="n">
        <f aca="false">Settings!$B$3-DATE(2026,5,22)</f>
        <v>118</v>
      </c>
      <c r="N61" s="31" t="n">
        <v>46148</v>
      </c>
      <c r="O61" s="26" t="s">
        <v>297</v>
      </c>
      <c r="P61" s="26" t="s">
        <v>40</v>
      </c>
      <c r="Q61" s="26" t="s">
        <v>298</v>
      </c>
      <c r="R61" s="33" t="s">
        <v>299</v>
      </c>
    </row>
    <row r="62" customFormat="false" ht="15" hidden="false" customHeight="false" outlineLevel="0" collapsed="false">
      <c r="A62" s="25" t="s">
        <v>134</v>
      </c>
      <c r="B62" s="26" t="s">
        <v>300</v>
      </c>
      <c r="C62" s="26" t="s">
        <v>14</v>
      </c>
      <c r="D62" s="26" t="s">
        <v>29</v>
      </c>
      <c r="E62" s="27" t="s">
        <v>59</v>
      </c>
      <c r="F62" s="27" t="s">
        <v>19</v>
      </c>
      <c r="G62" s="28" t="n">
        <v>20000</v>
      </c>
      <c r="H62" s="27" t="s">
        <v>77</v>
      </c>
      <c r="I62" s="29" t="n">
        <f aca="false">G62*INDEX(Settings!$B$6:$B$8,MATCH(H62,Settings!$A$6:$A$8,0))</f>
        <v>20000</v>
      </c>
      <c r="J62" s="30" t="n">
        <f aca="false">INDEX(Settings!$C$11:$C$16,MATCH(F62,Settings!$A$11:$A$16,0))</f>
        <v>0.6</v>
      </c>
      <c r="K62" s="29" t="n">
        <f aca="false">I62*J62</f>
        <v>12000</v>
      </c>
      <c r="L62" s="31" t="n">
        <v>46283</v>
      </c>
      <c r="M62" s="32" t="n">
        <f aca="false">Settings!$B$3-DATE(2026,9,16)</f>
        <v>1</v>
      </c>
      <c r="N62" s="31" t="n">
        <v>46276</v>
      </c>
      <c r="O62" s="26" t="s">
        <v>136</v>
      </c>
      <c r="P62" s="26" t="s">
        <v>32</v>
      </c>
      <c r="Q62" s="26" t="s">
        <v>137</v>
      </c>
      <c r="R62" s="33" t="s">
        <v>138</v>
      </c>
    </row>
    <row r="63" customFormat="false" ht="15" hidden="false" customHeight="false" outlineLevel="0" collapsed="false">
      <c r="A63" s="25" t="s">
        <v>301</v>
      </c>
      <c r="B63" s="26" t="s">
        <v>302</v>
      </c>
      <c r="C63" s="26" t="s">
        <v>14</v>
      </c>
      <c r="D63" s="26" t="s">
        <v>29</v>
      </c>
      <c r="E63" s="27" t="s">
        <v>59</v>
      </c>
      <c r="F63" s="27" t="s">
        <v>19</v>
      </c>
      <c r="G63" s="28" t="n">
        <v>20000</v>
      </c>
      <c r="H63" s="27" t="s">
        <v>60</v>
      </c>
      <c r="I63" s="29" t="n">
        <f aca="false">G63*INDEX(Settings!$B$6:$B$8,MATCH(H63,Settings!$A$6:$A$8,0))</f>
        <v>14800</v>
      </c>
      <c r="J63" s="30" t="n">
        <f aca="false">INDEX(Settings!$C$11:$C$16,MATCH(F63,Settings!$A$11:$A$16,0))</f>
        <v>0.6</v>
      </c>
      <c r="K63" s="29" t="n">
        <f aca="false">I63*J63</f>
        <v>8880</v>
      </c>
      <c r="L63" s="31" t="n">
        <v>46295</v>
      </c>
      <c r="M63" s="32" t="n">
        <f aca="false">Settings!$B$3-DATE(2026,9,16)</f>
        <v>1</v>
      </c>
      <c r="N63" s="31" t="n">
        <v>46275</v>
      </c>
      <c r="O63" s="34" t="s">
        <v>303</v>
      </c>
      <c r="P63" s="26" t="s">
        <v>28</v>
      </c>
      <c r="Q63" s="26" t="s">
        <v>73</v>
      </c>
      <c r="R63" s="33" t="s">
        <v>304</v>
      </c>
    </row>
    <row r="64" customFormat="false" ht="15" hidden="false" customHeight="false" outlineLevel="0" collapsed="false">
      <c r="A64" s="25" t="s">
        <v>305</v>
      </c>
      <c r="B64" s="26" t="s">
        <v>306</v>
      </c>
      <c r="C64" s="26" t="s">
        <v>14</v>
      </c>
      <c r="D64" s="26" t="s">
        <v>27</v>
      </c>
      <c r="E64" s="27" t="s">
        <v>59</v>
      </c>
      <c r="F64" s="27" t="s">
        <v>19</v>
      </c>
      <c r="G64" s="28" t="n">
        <v>10000</v>
      </c>
      <c r="H64" s="27" t="s">
        <v>77</v>
      </c>
      <c r="I64" s="29" t="n">
        <f aca="false">G64*INDEX(Settings!$B$6:$B$8,MATCH(H64,Settings!$A$6:$A$8,0))</f>
        <v>10000</v>
      </c>
      <c r="J64" s="30" t="n">
        <f aca="false">INDEX(Settings!$C$11:$C$16,MATCH(F64,Settings!$A$11:$A$16,0))</f>
        <v>0.6</v>
      </c>
      <c r="K64" s="29" t="n">
        <f aca="false">I64*J64</f>
        <v>6000</v>
      </c>
      <c r="L64" s="31"/>
      <c r="M64" s="32" t="n">
        <f aca="false">Settings!$B$3-DATE(2026,9,10)</f>
        <v>7</v>
      </c>
      <c r="N64" s="31" t="n">
        <v>46269</v>
      </c>
      <c r="O64" s="26" t="s">
        <v>307</v>
      </c>
      <c r="P64" s="26" t="s">
        <v>28</v>
      </c>
      <c r="Q64" s="26" t="s">
        <v>308</v>
      </c>
      <c r="R64" s="33" t="s">
        <v>309</v>
      </c>
    </row>
    <row r="65" customFormat="false" ht="15" hidden="false" customHeight="false" outlineLevel="0" collapsed="false">
      <c r="A65" s="25" t="s">
        <v>270</v>
      </c>
      <c r="B65" s="26" t="s">
        <v>310</v>
      </c>
      <c r="C65" s="26" t="s">
        <v>16</v>
      </c>
      <c r="D65" s="26" t="s">
        <v>31</v>
      </c>
      <c r="E65" s="27" t="s">
        <v>59</v>
      </c>
      <c r="F65" s="27" t="s">
        <v>17</v>
      </c>
      <c r="G65" s="28" t="n">
        <v>250000</v>
      </c>
      <c r="H65" s="27" t="s">
        <v>77</v>
      </c>
      <c r="I65" s="29" t="n">
        <f aca="false">G65*INDEX(Settings!$B$6:$B$8,MATCH(H65,Settings!$A$6:$A$8,0))</f>
        <v>250000</v>
      </c>
      <c r="J65" s="30" t="n">
        <f aca="false">INDEX(Settings!$C$11:$C$16,MATCH(F65,Settings!$A$11:$A$16,0))</f>
        <v>0.55</v>
      </c>
      <c r="K65" s="29" t="n">
        <f aca="false">I65*J65</f>
        <v>137500</v>
      </c>
      <c r="L65" s="31" t="n">
        <v>46300</v>
      </c>
      <c r="M65" s="32" t="n">
        <f aca="false">Settings!$B$3-DATE(2026,6,22)</f>
        <v>87</v>
      </c>
      <c r="N65" s="31" t="n">
        <v>46083</v>
      </c>
      <c r="O65" s="26" t="s">
        <v>272</v>
      </c>
      <c r="P65" s="26" t="s">
        <v>28</v>
      </c>
      <c r="Q65" s="26" t="s">
        <v>273</v>
      </c>
      <c r="R65" s="33" t="s">
        <v>274</v>
      </c>
    </row>
    <row r="66" customFormat="false" ht="15" hidden="false" customHeight="false" outlineLevel="0" collapsed="false">
      <c r="A66" s="25" t="s">
        <v>101</v>
      </c>
      <c r="B66" s="26" t="s">
        <v>311</v>
      </c>
      <c r="C66" s="26" t="s">
        <v>14</v>
      </c>
      <c r="D66" s="26" t="s">
        <v>27</v>
      </c>
      <c r="E66" s="27" t="s">
        <v>59</v>
      </c>
      <c r="F66" s="27" t="s">
        <v>17</v>
      </c>
      <c r="G66" s="28" t="n">
        <v>303500</v>
      </c>
      <c r="H66" s="27" t="s">
        <v>60</v>
      </c>
      <c r="I66" s="29" t="n">
        <f aca="false">G66*INDEX(Settings!$B$6:$B$8,MATCH(H66,Settings!$A$6:$A$8,0))</f>
        <v>224590</v>
      </c>
      <c r="J66" s="30" t="n">
        <f aca="false">INDEX(Settings!$C$11:$C$16,MATCH(F66,Settings!$A$11:$A$16,0))</f>
        <v>0.55</v>
      </c>
      <c r="K66" s="29" t="n">
        <f aca="false">I66*J66</f>
        <v>123524.5</v>
      </c>
      <c r="L66" s="31" t="n">
        <v>46356</v>
      </c>
      <c r="M66" s="32" t="n">
        <f aca="false">Settings!$B$3-DATE(2026,9,14)</f>
        <v>3</v>
      </c>
      <c r="N66" s="31" t="n">
        <v>46100</v>
      </c>
      <c r="O66" s="26" t="s">
        <v>312</v>
      </c>
      <c r="P66" s="26" t="s">
        <v>28</v>
      </c>
      <c r="Q66" s="26" t="s">
        <v>73</v>
      </c>
      <c r="R66" s="33" t="s">
        <v>104</v>
      </c>
    </row>
    <row r="67" customFormat="false" ht="15" hidden="false" customHeight="false" outlineLevel="0" collapsed="false">
      <c r="A67" s="25" t="s">
        <v>313</v>
      </c>
      <c r="B67" s="26" t="s">
        <v>313</v>
      </c>
      <c r="C67" s="26" t="s">
        <v>16</v>
      </c>
      <c r="D67" s="26" t="s">
        <v>71</v>
      </c>
      <c r="E67" s="27" t="s">
        <v>94</v>
      </c>
      <c r="F67" s="27" t="s">
        <v>17</v>
      </c>
      <c r="G67" s="28" t="n">
        <v>100000</v>
      </c>
      <c r="H67" s="27" t="s">
        <v>77</v>
      </c>
      <c r="I67" s="29" t="n">
        <f aca="false">G67*INDEX(Settings!$B$6:$B$8,MATCH(H67,Settings!$A$6:$A$8,0))</f>
        <v>100000</v>
      </c>
      <c r="J67" s="30" t="n">
        <f aca="false">INDEX(Settings!$C$11:$C$16,MATCH(F67,Settings!$A$11:$A$16,0))</f>
        <v>0.55</v>
      </c>
      <c r="K67" s="29" t="n">
        <f aca="false">I67*J67</f>
        <v>55000</v>
      </c>
      <c r="L67" s="31" t="n">
        <v>46290</v>
      </c>
      <c r="M67" s="32" t="n">
        <f aca="false">Settings!$B$3-DATE(2026,8,16)</f>
        <v>32</v>
      </c>
      <c r="N67" s="31" t="n">
        <v>46250</v>
      </c>
      <c r="O67" s="26" t="s">
        <v>314</v>
      </c>
      <c r="P67" s="26" t="s">
        <v>30</v>
      </c>
      <c r="Q67" s="26" t="s">
        <v>315</v>
      </c>
      <c r="R67" s="33" t="s">
        <v>316</v>
      </c>
    </row>
    <row r="68" customFormat="false" ht="15" hidden="false" customHeight="false" outlineLevel="0" collapsed="false">
      <c r="A68" s="25" t="s">
        <v>317</v>
      </c>
      <c r="B68" s="26" t="s">
        <v>318</v>
      </c>
      <c r="C68" s="26" t="s">
        <v>16</v>
      </c>
      <c r="D68" s="26" t="s">
        <v>31</v>
      </c>
      <c r="E68" s="27" t="s">
        <v>59</v>
      </c>
      <c r="F68" s="27" t="s">
        <v>17</v>
      </c>
      <c r="G68" s="28" t="n">
        <v>100000</v>
      </c>
      <c r="H68" s="27" t="s">
        <v>60</v>
      </c>
      <c r="I68" s="29" t="n">
        <f aca="false">G68*INDEX(Settings!$B$6:$B$8,MATCH(H68,Settings!$A$6:$A$8,0))</f>
        <v>74000</v>
      </c>
      <c r="J68" s="30" t="n">
        <f aca="false">INDEX(Settings!$C$11:$C$16,MATCH(F68,Settings!$A$11:$A$16,0))</f>
        <v>0.55</v>
      </c>
      <c r="K68" s="29" t="n">
        <f aca="false">I68*J68</f>
        <v>40700</v>
      </c>
      <c r="L68" s="31" t="n">
        <v>46295</v>
      </c>
      <c r="M68" s="32" t="n">
        <f aca="false">Settings!$B$3-DATE(2026,8,17)</f>
        <v>31</v>
      </c>
      <c r="N68" s="31" t="n">
        <v>46051</v>
      </c>
      <c r="O68" s="26" t="s">
        <v>319</v>
      </c>
      <c r="P68" s="26" t="s">
        <v>28</v>
      </c>
      <c r="Q68" s="26" t="s">
        <v>320</v>
      </c>
      <c r="R68" s="33" t="s">
        <v>321</v>
      </c>
    </row>
    <row r="69" customFormat="false" ht="15" hidden="false" customHeight="false" outlineLevel="0" collapsed="false">
      <c r="A69" s="25" t="s">
        <v>322</v>
      </c>
      <c r="B69" s="26" t="s">
        <v>323</v>
      </c>
      <c r="C69" s="26" t="s">
        <v>18</v>
      </c>
      <c r="D69" s="26" t="s">
        <v>71</v>
      </c>
      <c r="E69" s="27" t="s">
        <v>59</v>
      </c>
      <c r="F69" s="27" t="s">
        <v>17</v>
      </c>
      <c r="G69" s="28" t="n">
        <v>100000</v>
      </c>
      <c r="H69" s="27" t="s">
        <v>60</v>
      </c>
      <c r="I69" s="29" t="n">
        <f aca="false">G69*INDEX(Settings!$B$6:$B$8,MATCH(H69,Settings!$A$6:$A$8,0))</f>
        <v>74000</v>
      </c>
      <c r="J69" s="30" t="n">
        <f aca="false">INDEX(Settings!$C$11:$C$16,MATCH(F69,Settings!$A$11:$A$16,0))</f>
        <v>0.55</v>
      </c>
      <c r="K69" s="29" t="n">
        <f aca="false">I69*J69</f>
        <v>40700</v>
      </c>
      <c r="L69" s="31" t="n">
        <v>46295</v>
      </c>
      <c r="M69" s="32" t="n">
        <f aca="false">Settings!$B$3-DATE(2026,8,18)</f>
        <v>30</v>
      </c>
      <c r="N69" s="31" t="n">
        <v>46226</v>
      </c>
      <c r="O69" s="26" t="s">
        <v>324</v>
      </c>
      <c r="P69" s="26" t="s">
        <v>36</v>
      </c>
      <c r="Q69" s="26" t="s">
        <v>325</v>
      </c>
      <c r="R69" s="26"/>
    </row>
    <row r="70" customFormat="false" ht="15" hidden="false" customHeight="false" outlineLevel="0" collapsed="false">
      <c r="A70" s="25" t="s">
        <v>124</v>
      </c>
      <c r="B70" s="26" t="s">
        <v>326</v>
      </c>
      <c r="C70" s="26" t="s">
        <v>14</v>
      </c>
      <c r="D70" s="26" t="s">
        <v>27</v>
      </c>
      <c r="E70" s="27" t="s">
        <v>59</v>
      </c>
      <c r="F70" s="27" t="s">
        <v>17</v>
      </c>
      <c r="G70" s="28" t="n">
        <v>100000</v>
      </c>
      <c r="H70" s="27" t="s">
        <v>60</v>
      </c>
      <c r="I70" s="29" t="n">
        <f aca="false">G70*INDEX(Settings!$B$6:$B$8,MATCH(H70,Settings!$A$6:$A$8,0))</f>
        <v>74000</v>
      </c>
      <c r="J70" s="30" t="n">
        <f aca="false">INDEX(Settings!$C$11:$C$16,MATCH(F70,Settings!$A$11:$A$16,0))</f>
        <v>0.55</v>
      </c>
      <c r="K70" s="29" t="n">
        <f aca="false">I70*J70</f>
        <v>40700</v>
      </c>
      <c r="L70" s="31" t="n">
        <v>46325</v>
      </c>
      <c r="M70" s="32" t="n">
        <f aca="false">Settings!$B$3-DATE(2026,9,11)</f>
        <v>6</v>
      </c>
      <c r="N70" s="31" t="n">
        <v>46276</v>
      </c>
      <c r="O70" s="26" t="s">
        <v>195</v>
      </c>
      <c r="P70" s="26" t="s">
        <v>28</v>
      </c>
      <c r="Q70" s="26" t="s">
        <v>73</v>
      </c>
      <c r="R70" s="33" t="s">
        <v>127</v>
      </c>
    </row>
    <row r="71" customFormat="false" ht="15" hidden="false" customHeight="false" outlineLevel="0" collapsed="false">
      <c r="A71" s="25" t="s">
        <v>327</v>
      </c>
      <c r="B71" s="26" t="s">
        <v>328</v>
      </c>
      <c r="C71" s="26" t="s">
        <v>14</v>
      </c>
      <c r="D71" s="26" t="s">
        <v>71</v>
      </c>
      <c r="E71" s="27" t="s">
        <v>59</v>
      </c>
      <c r="F71" s="27" t="s">
        <v>17</v>
      </c>
      <c r="G71" s="28" t="n">
        <v>60000</v>
      </c>
      <c r="H71" s="27" t="s">
        <v>60</v>
      </c>
      <c r="I71" s="29" t="n">
        <f aca="false">G71*INDEX(Settings!$B$6:$B$8,MATCH(H71,Settings!$A$6:$A$8,0))</f>
        <v>44400</v>
      </c>
      <c r="J71" s="30" t="n">
        <f aca="false">INDEX(Settings!$C$11:$C$16,MATCH(F71,Settings!$A$11:$A$16,0))</f>
        <v>0.55</v>
      </c>
      <c r="K71" s="29" t="n">
        <f aca="false">I71*J71</f>
        <v>24420</v>
      </c>
      <c r="L71" s="31" t="n">
        <v>46295</v>
      </c>
      <c r="M71" s="32" t="n">
        <f aca="false">Settings!$B$3-DATE(2026,9,17)</f>
        <v>0</v>
      </c>
      <c r="N71" s="31" t="n">
        <v>46282</v>
      </c>
      <c r="O71" s="26" t="s">
        <v>329</v>
      </c>
      <c r="P71" s="26" t="s">
        <v>30</v>
      </c>
      <c r="Q71" s="26" t="s">
        <v>330</v>
      </c>
      <c r="R71" s="33" t="s">
        <v>331</v>
      </c>
    </row>
    <row r="72" customFormat="false" ht="15" hidden="false" customHeight="false" outlineLevel="0" collapsed="false">
      <c r="A72" s="25" t="s">
        <v>332</v>
      </c>
      <c r="B72" s="26" t="s">
        <v>333</v>
      </c>
      <c r="C72" s="26" t="s">
        <v>14</v>
      </c>
      <c r="D72" s="26" t="s">
        <v>29</v>
      </c>
      <c r="E72" s="27" t="s">
        <v>59</v>
      </c>
      <c r="F72" s="27" t="s">
        <v>17</v>
      </c>
      <c r="G72" s="28" t="n">
        <v>50000</v>
      </c>
      <c r="H72" s="27" t="s">
        <v>60</v>
      </c>
      <c r="I72" s="29" t="n">
        <f aca="false">G72*INDEX(Settings!$B$6:$B$8,MATCH(H72,Settings!$A$6:$A$8,0))</f>
        <v>37000</v>
      </c>
      <c r="J72" s="30" t="n">
        <f aca="false">INDEX(Settings!$C$11:$C$16,MATCH(F72,Settings!$A$11:$A$16,0))</f>
        <v>0.55</v>
      </c>
      <c r="K72" s="29" t="n">
        <f aca="false">I72*J72</f>
        <v>20350</v>
      </c>
      <c r="L72" s="31" t="n">
        <v>46290</v>
      </c>
      <c r="M72" s="32" t="n">
        <f aca="false">Settings!$B$3-DATE(2026,8,31)</f>
        <v>17</v>
      </c>
      <c r="N72" s="31" t="n">
        <v>46252</v>
      </c>
      <c r="O72" s="26" t="s">
        <v>334</v>
      </c>
      <c r="P72" s="26" t="s">
        <v>30</v>
      </c>
      <c r="Q72" s="26" t="s">
        <v>240</v>
      </c>
      <c r="R72" s="33" t="s">
        <v>335</v>
      </c>
    </row>
    <row r="73" customFormat="false" ht="15" hidden="false" customHeight="false" outlineLevel="0" collapsed="false">
      <c r="A73" s="25" t="s">
        <v>336</v>
      </c>
      <c r="B73" s="26" t="s">
        <v>337</v>
      </c>
      <c r="C73" s="26" t="s">
        <v>16</v>
      </c>
      <c r="D73" s="26" t="s">
        <v>33</v>
      </c>
      <c r="E73" s="27" t="s">
        <v>59</v>
      </c>
      <c r="F73" s="27" t="s">
        <v>17</v>
      </c>
      <c r="G73" s="28" t="n">
        <v>50000</v>
      </c>
      <c r="H73" s="27" t="s">
        <v>60</v>
      </c>
      <c r="I73" s="29" t="n">
        <f aca="false">G73*INDEX(Settings!$B$6:$B$8,MATCH(H73,Settings!$A$6:$A$8,0))</f>
        <v>37000</v>
      </c>
      <c r="J73" s="30" t="n">
        <f aca="false">INDEX(Settings!$C$11:$C$16,MATCH(F73,Settings!$A$11:$A$16,0))</f>
        <v>0.55</v>
      </c>
      <c r="K73" s="29" t="n">
        <f aca="false">I73*J73</f>
        <v>20350</v>
      </c>
      <c r="L73" s="31"/>
      <c r="M73" s="32" t="n">
        <f aca="false">Settings!$B$3-DATE(2026,9,7)</f>
        <v>10</v>
      </c>
      <c r="N73" s="31" t="n">
        <v>46267</v>
      </c>
      <c r="O73" s="26" t="s">
        <v>338</v>
      </c>
      <c r="P73" s="26" t="s">
        <v>39</v>
      </c>
      <c r="Q73" s="26" t="s">
        <v>339</v>
      </c>
      <c r="R73" s="33" t="s">
        <v>340</v>
      </c>
    </row>
    <row r="74" customFormat="false" ht="15" hidden="false" customHeight="false" outlineLevel="0" collapsed="false">
      <c r="A74" s="25" t="s">
        <v>341</v>
      </c>
      <c r="B74" s="26" t="s">
        <v>342</v>
      </c>
      <c r="C74" s="26" t="s">
        <v>14</v>
      </c>
      <c r="D74" s="26" t="s">
        <v>71</v>
      </c>
      <c r="E74" s="27" t="s">
        <v>94</v>
      </c>
      <c r="F74" s="27" t="s">
        <v>17</v>
      </c>
      <c r="G74" s="28" t="n">
        <v>50000</v>
      </c>
      <c r="H74" s="27" t="s">
        <v>60</v>
      </c>
      <c r="I74" s="29" t="n">
        <f aca="false">G74*INDEX(Settings!$B$6:$B$8,MATCH(H74,Settings!$A$6:$A$8,0))</f>
        <v>37000</v>
      </c>
      <c r="J74" s="30" t="n">
        <f aca="false">INDEX(Settings!$C$11:$C$16,MATCH(F74,Settings!$A$11:$A$16,0))</f>
        <v>0.55</v>
      </c>
      <c r="K74" s="29" t="n">
        <f aca="false">I74*J74</f>
        <v>20350</v>
      </c>
      <c r="L74" s="31" t="n">
        <v>46356</v>
      </c>
      <c r="M74" s="32" t="n">
        <f aca="false">Settings!$B$3-DATE(2026,9,15)</f>
        <v>2</v>
      </c>
      <c r="N74" s="31" t="n">
        <v>46274</v>
      </c>
      <c r="O74" s="26" t="s">
        <v>343</v>
      </c>
      <c r="P74" s="26" t="s">
        <v>28</v>
      </c>
      <c r="Q74" s="26" t="s">
        <v>344</v>
      </c>
      <c r="R74" s="33" t="s">
        <v>345</v>
      </c>
    </row>
    <row r="75" customFormat="false" ht="15" hidden="false" customHeight="false" outlineLevel="0" collapsed="false">
      <c r="A75" s="25" t="s">
        <v>346</v>
      </c>
      <c r="B75" s="26" t="s">
        <v>347</v>
      </c>
      <c r="C75" s="26" t="s">
        <v>18</v>
      </c>
      <c r="D75" s="26" t="s">
        <v>71</v>
      </c>
      <c r="E75" s="27" t="s">
        <v>94</v>
      </c>
      <c r="F75" s="27" t="s">
        <v>17</v>
      </c>
      <c r="G75" s="28" t="n">
        <v>40000</v>
      </c>
      <c r="H75" s="27" t="s">
        <v>60</v>
      </c>
      <c r="I75" s="29" t="n">
        <f aca="false">G75*INDEX(Settings!$B$6:$B$8,MATCH(H75,Settings!$A$6:$A$8,0))</f>
        <v>29600</v>
      </c>
      <c r="J75" s="30" t="n">
        <f aca="false">INDEX(Settings!$C$11:$C$16,MATCH(F75,Settings!$A$11:$A$16,0))</f>
        <v>0.55</v>
      </c>
      <c r="K75" s="29" t="n">
        <f aca="false">I75*J75</f>
        <v>16280</v>
      </c>
      <c r="L75" s="31" t="n">
        <v>46326</v>
      </c>
      <c r="M75" s="32" t="n">
        <f aca="false">Settings!$B$3-DATE(2026,8,18)</f>
        <v>30</v>
      </c>
      <c r="N75" s="31" t="n">
        <v>46246</v>
      </c>
      <c r="O75" s="26" t="s">
        <v>348</v>
      </c>
      <c r="P75" s="26" t="s">
        <v>40</v>
      </c>
      <c r="Q75" s="26" t="s">
        <v>298</v>
      </c>
      <c r="R75" s="33" t="s">
        <v>349</v>
      </c>
    </row>
    <row r="76" customFormat="false" ht="15" hidden="false" customHeight="false" outlineLevel="0" collapsed="false">
      <c r="A76" s="25" t="s">
        <v>350</v>
      </c>
      <c r="B76" s="26" t="s">
        <v>351</v>
      </c>
      <c r="C76" s="26" t="s">
        <v>14</v>
      </c>
      <c r="D76" s="26" t="s">
        <v>71</v>
      </c>
      <c r="E76" s="27" t="s">
        <v>94</v>
      </c>
      <c r="F76" s="27" t="s">
        <v>17</v>
      </c>
      <c r="G76" s="28" t="n">
        <v>10000</v>
      </c>
      <c r="H76" s="27" t="s">
        <v>77</v>
      </c>
      <c r="I76" s="29" t="n">
        <f aca="false">G76*INDEX(Settings!$B$6:$B$8,MATCH(H76,Settings!$A$6:$A$8,0))</f>
        <v>10000</v>
      </c>
      <c r="J76" s="30" t="n">
        <f aca="false">INDEX(Settings!$C$11:$C$16,MATCH(F76,Settings!$A$11:$A$16,0))</f>
        <v>0.55</v>
      </c>
      <c r="K76" s="29" t="n">
        <f aca="false">I76*J76</f>
        <v>5500</v>
      </c>
      <c r="L76" s="31" t="n">
        <v>46386</v>
      </c>
      <c r="M76" s="32" t="n">
        <f aca="false">Settings!$B$3-DATE(2026,9,17)</f>
        <v>0</v>
      </c>
      <c r="N76" s="31" t="n">
        <v>46274</v>
      </c>
      <c r="O76" s="26" t="s">
        <v>352</v>
      </c>
      <c r="P76" s="26" t="s">
        <v>38</v>
      </c>
      <c r="Q76" s="26" t="s">
        <v>353</v>
      </c>
      <c r="R76" s="33" t="s">
        <v>354</v>
      </c>
    </row>
    <row r="77" customFormat="false" ht="15" hidden="false" customHeight="false" outlineLevel="0" collapsed="false">
      <c r="A77" s="25" t="s">
        <v>355</v>
      </c>
      <c r="B77" s="26" t="s">
        <v>356</v>
      </c>
      <c r="C77" s="26" t="s">
        <v>14</v>
      </c>
      <c r="D77" s="26" t="s">
        <v>71</v>
      </c>
      <c r="E77" s="27" t="s">
        <v>94</v>
      </c>
      <c r="F77" s="27" t="s">
        <v>15</v>
      </c>
      <c r="G77" s="28" t="n">
        <v>1000000</v>
      </c>
      <c r="H77" s="27" t="s">
        <v>60</v>
      </c>
      <c r="I77" s="29" t="n">
        <f aca="false">G77*INDEX(Settings!$B$6:$B$8,MATCH(H77,Settings!$A$6:$A$8,0))</f>
        <v>740000</v>
      </c>
      <c r="J77" s="30" t="n">
        <f aca="false">INDEX(Settings!$C$11:$C$16,MATCH(F77,Settings!$A$11:$A$16,0))</f>
        <v>0.5</v>
      </c>
      <c r="K77" s="29" t="n">
        <f aca="false">I77*J77</f>
        <v>370000</v>
      </c>
      <c r="L77" s="31" t="n">
        <v>46371</v>
      </c>
      <c r="M77" s="32" t="n">
        <f aca="false">Settings!$B$3-DATE(2026,9,8)</f>
        <v>9</v>
      </c>
      <c r="N77" s="31" t="n">
        <v>46273</v>
      </c>
      <c r="O77" s="26" t="s">
        <v>357</v>
      </c>
      <c r="P77" s="26" t="s">
        <v>34</v>
      </c>
      <c r="Q77" s="26" t="s">
        <v>358</v>
      </c>
      <c r="R77" s="33" t="s">
        <v>359</v>
      </c>
    </row>
    <row r="78" customFormat="false" ht="15" hidden="false" customHeight="false" outlineLevel="0" collapsed="false">
      <c r="A78" s="25" t="s">
        <v>360</v>
      </c>
      <c r="B78" s="26" t="s">
        <v>361</v>
      </c>
      <c r="C78" s="26" t="s">
        <v>16</v>
      </c>
      <c r="D78" s="26" t="s">
        <v>31</v>
      </c>
      <c r="E78" s="27" t="s">
        <v>59</v>
      </c>
      <c r="F78" s="27" t="s">
        <v>15</v>
      </c>
      <c r="G78" s="28" t="n">
        <v>200000</v>
      </c>
      <c r="H78" s="27" t="s">
        <v>60</v>
      </c>
      <c r="I78" s="29" t="n">
        <f aca="false">G78*INDEX(Settings!$B$6:$B$8,MATCH(H78,Settings!$A$6:$A$8,0))</f>
        <v>148000</v>
      </c>
      <c r="J78" s="30" t="n">
        <f aca="false">INDEX(Settings!$C$11:$C$16,MATCH(F78,Settings!$A$11:$A$16,0))</f>
        <v>0.5</v>
      </c>
      <c r="K78" s="29" t="n">
        <f aca="false">I78*J78</f>
        <v>74000</v>
      </c>
      <c r="L78" s="31" t="n">
        <v>46297</v>
      </c>
      <c r="M78" s="32" t="n">
        <f aca="false">Settings!$B$3-DATE(2026,9,3)</f>
        <v>14</v>
      </c>
      <c r="N78" s="31" t="n">
        <v>46268</v>
      </c>
      <c r="O78" s="26" t="s">
        <v>362</v>
      </c>
      <c r="P78" s="26" t="s">
        <v>39</v>
      </c>
      <c r="Q78" s="26" t="s">
        <v>363</v>
      </c>
      <c r="R78" s="33" t="s">
        <v>364</v>
      </c>
    </row>
    <row r="79" customFormat="false" ht="15" hidden="false" customHeight="false" outlineLevel="0" collapsed="false">
      <c r="A79" s="25" t="s">
        <v>365</v>
      </c>
      <c r="B79" s="26" t="s">
        <v>366</v>
      </c>
      <c r="C79" s="26" t="s">
        <v>14</v>
      </c>
      <c r="D79" s="26" t="s">
        <v>71</v>
      </c>
      <c r="E79" s="27" t="s">
        <v>94</v>
      </c>
      <c r="F79" s="27" t="s">
        <v>15</v>
      </c>
      <c r="G79" s="28" t="n">
        <v>100000</v>
      </c>
      <c r="H79" s="27" t="s">
        <v>84</v>
      </c>
      <c r="I79" s="29" t="n">
        <f aca="false">G79*INDEX(Settings!$B$6:$B$8,MATCH(H79,Settings!$A$6:$A$8,0))</f>
        <v>85000</v>
      </c>
      <c r="J79" s="30" t="n">
        <f aca="false">INDEX(Settings!$C$11:$C$16,MATCH(F79,Settings!$A$11:$A$16,0))</f>
        <v>0.5</v>
      </c>
      <c r="K79" s="29" t="n">
        <f aca="false">I79*J79</f>
        <v>42500</v>
      </c>
      <c r="L79" s="31" t="n">
        <v>46295</v>
      </c>
      <c r="M79" s="32" t="n">
        <f aca="false">Settings!$B$3-DATE(2026,9,17)</f>
        <v>0</v>
      </c>
      <c r="N79" s="31" t="n">
        <v>46282</v>
      </c>
      <c r="O79" s="26" t="s">
        <v>367</v>
      </c>
      <c r="P79" s="26" t="s">
        <v>30</v>
      </c>
      <c r="Q79" s="26" t="s">
        <v>368</v>
      </c>
      <c r="R79" s="33" t="s">
        <v>369</v>
      </c>
    </row>
    <row r="80" customFormat="false" ht="15" hidden="false" customHeight="false" outlineLevel="0" collapsed="false">
      <c r="A80" s="25" t="s">
        <v>370</v>
      </c>
      <c r="B80" s="26" t="s">
        <v>371</v>
      </c>
      <c r="C80" s="26" t="s">
        <v>18</v>
      </c>
      <c r="D80" s="26" t="s">
        <v>71</v>
      </c>
      <c r="E80" s="27" t="s">
        <v>94</v>
      </c>
      <c r="F80" s="27" t="s">
        <v>15</v>
      </c>
      <c r="G80" s="28" t="n">
        <v>50000</v>
      </c>
      <c r="H80" s="27" t="s">
        <v>77</v>
      </c>
      <c r="I80" s="29" t="n">
        <f aca="false">G80*INDEX(Settings!$B$6:$B$8,MATCH(H80,Settings!$A$6:$A$8,0))</f>
        <v>50000</v>
      </c>
      <c r="J80" s="30" t="n">
        <f aca="false">INDEX(Settings!$C$11:$C$16,MATCH(F80,Settings!$A$11:$A$16,0))</f>
        <v>0.5</v>
      </c>
      <c r="K80" s="29" t="n">
        <f aca="false">I80*J80</f>
        <v>25000</v>
      </c>
      <c r="L80" s="31" t="n">
        <v>46326</v>
      </c>
      <c r="M80" s="32" t="n">
        <f aca="false">Settings!$B$3-DATE(2026,9,17)</f>
        <v>0</v>
      </c>
      <c r="N80" s="31" t="n">
        <v>46282</v>
      </c>
      <c r="O80" s="26" t="s">
        <v>372</v>
      </c>
      <c r="P80" s="26" t="s">
        <v>39</v>
      </c>
      <c r="Q80" s="26" t="s">
        <v>373</v>
      </c>
      <c r="R80" s="33" t="s">
        <v>374</v>
      </c>
    </row>
    <row r="81" customFormat="false" ht="15" hidden="false" customHeight="false" outlineLevel="0" collapsed="false">
      <c r="A81" s="25" t="s">
        <v>375</v>
      </c>
      <c r="B81" s="26" t="s">
        <v>375</v>
      </c>
      <c r="C81" s="26" t="s">
        <v>16</v>
      </c>
      <c r="D81" s="26" t="s">
        <v>33</v>
      </c>
      <c r="E81" s="27" t="s">
        <v>59</v>
      </c>
      <c r="F81" s="27" t="s">
        <v>15</v>
      </c>
      <c r="G81" s="28" t="n">
        <v>60000</v>
      </c>
      <c r="H81" s="27" t="s">
        <v>60</v>
      </c>
      <c r="I81" s="29" t="n">
        <f aca="false">G81*INDEX(Settings!$B$6:$B$8,MATCH(H81,Settings!$A$6:$A$8,0))</f>
        <v>44400</v>
      </c>
      <c r="J81" s="30" t="n">
        <f aca="false">INDEX(Settings!$C$11:$C$16,MATCH(F81,Settings!$A$11:$A$16,0))</f>
        <v>0.5</v>
      </c>
      <c r="K81" s="29" t="n">
        <f aca="false">I81*J81</f>
        <v>22200</v>
      </c>
      <c r="L81" s="31" t="n">
        <v>46295</v>
      </c>
      <c r="M81" s="32" t="n">
        <f aca="false">Settings!$B$3-DATE(2026,9,1)</f>
        <v>16</v>
      </c>
      <c r="N81" s="31" t="n">
        <v>46266</v>
      </c>
      <c r="O81" s="26" t="s">
        <v>376</v>
      </c>
      <c r="P81" s="26" t="s">
        <v>30</v>
      </c>
      <c r="Q81" s="26" t="s">
        <v>377</v>
      </c>
      <c r="R81" s="33" t="s">
        <v>378</v>
      </c>
    </row>
    <row r="82" customFormat="false" ht="15" hidden="false" customHeight="false" outlineLevel="0" collapsed="false">
      <c r="A82" s="25" t="s">
        <v>379</v>
      </c>
      <c r="B82" s="26" t="s">
        <v>380</v>
      </c>
      <c r="C82" s="26" t="s">
        <v>18</v>
      </c>
      <c r="D82" s="26" t="s">
        <v>71</v>
      </c>
      <c r="E82" s="27" t="s">
        <v>94</v>
      </c>
      <c r="F82" s="27" t="s">
        <v>15</v>
      </c>
      <c r="G82" s="28" t="n">
        <v>60000</v>
      </c>
      <c r="H82" s="27" t="s">
        <v>60</v>
      </c>
      <c r="I82" s="29" t="n">
        <f aca="false">G82*INDEX(Settings!$B$6:$B$8,MATCH(H82,Settings!$A$6:$A$8,0))</f>
        <v>44400</v>
      </c>
      <c r="J82" s="30" t="n">
        <f aca="false">INDEX(Settings!$C$11:$C$16,MATCH(F82,Settings!$A$11:$A$16,0))</f>
        <v>0.5</v>
      </c>
      <c r="K82" s="29" t="n">
        <f aca="false">I82*J82</f>
        <v>22200</v>
      </c>
      <c r="L82" s="31" t="n">
        <v>46326</v>
      </c>
      <c r="M82" s="32" t="n">
        <f aca="false">Settings!$B$3-DATE(2026,9,14)</f>
        <v>3</v>
      </c>
      <c r="N82" s="31" t="n">
        <v>46279</v>
      </c>
      <c r="O82" s="26" t="s">
        <v>381</v>
      </c>
      <c r="P82" s="26"/>
      <c r="Q82" s="26"/>
      <c r="R82" s="33" t="s">
        <v>382</v>
      </c>
    </row>
    <row r="83" customFormat="false" ht="15" hidden="false" customHeight="false" outlineLevel="0" collapsed="false">
      <c r="A83" s="25" t="s">
        <v>383</v>
      </c>
      <c r="B83" s="26" t="s">
        <v>383</v>
      </c>
      <c r="C83" s="26" t="s">
        <v>16</v>
      </c>
      <c r="D83" s="26" t="s">
        <v>71</v>
      </c>
      <c r="E83" s="27" t="s">
        <v>59</v>
      </c>
      <c r="F83" s="27" t="s">
        <v>15</v>
      </c>
      <c r="G83" s="28" t="n">
        <v>45000</v>
      </c>
      <c r="H83" s="27" t="s">
        <v>84</v>
      </c>
      <c r="I83" s="29" t="n">
        <f aca="false">G83*INDEX(Settings!$B$6:$B$8,MATCH(H83,Settings!$A$6:$A$8,0))</f>
        <v>38250</v>
      </c>
      <c r="J83" s="30" t="n">
        <f aca="false">INDEX(Settings!$C$11:$C$16,MATCH(F83,Settings!$A$11:$A$16,0))</f>
        <v>0.5</v>
      </c>
      <c r="K83" s="29" t="n">
        <f aca="false">I83*J83</f>
        <v>19125</v>
      </c>
      <c r="L83" s="31" t="n">
        <v>46290</v>
      </c>
      <c r="M83" s="32" t="n">
        <f aca="false">Settings!$B$3-DATE(2026,9,1)</f>
        <v>16</v>
      </c>
      <c r="N83" s="31" t="n">
        <v>46266</v>
      </c>
      <c r="O83" s="26" t="s">
        <v>384</v>
      </c>
      <c r="P83" s="26" t="s">
        <v>32</v>
      </c>
      <c r="Q83" s="26" t="s">
        <v>385</v>
      </c>
      <c r="R83" s="33" t="s">
        <v>386</v>
      </c>
    </row>
    <row r="84" customFormat="false" ht="15" hidden="false" customHeight="false" outlineLevel="0" collapsed="false">
      <c r="A84" s="25" t="s">
        <v>387</v>
      </c>
      <c r="B84" s="26" t="s">
        <v>387</v>
      </c>
      <c r="C84" s="26" t="s">
        <v>16</v>
      </c>
      <c r="D84" s="26" t="s">
        <v>71</v>
      </c>
      <c r="E84" s="27" t="s">
        <v>94</v>
      </c>
      <c r="F84" s="27" t="s">
        <v>15</v>
      </c>
      <c r="G84" s="28" t="n">
        <v>50000</v>
      </c>
      <c r="H84" s="27" t="s">
        <v>60</v>
      </c>
      <c r="I84" s="29" t="n">
        <f aca="false">G84*INDEX(Settings!$B$6:$B$8,MATCH(H84,Settings!$A$6:$A$8,0))</f>
        <v>37000</v>
      </c>
      <c r="J84" s="30" t="n">
        <f aca="false">INDEX(Settings!$C$11:$C$16,MATCH(F84,Settings!$A$11:$A$16,0))</f>
        <v>0.5</v>
      </c>
      <c r="K84" s="29" t="n">
        <f aca="false">I84*J84</f>
        <v>18500</v>
      </c>
      <c r="L84" s="31" t="n">
        <v>46374</v>
      </c>
      <c r="M84" s="32" t="n">
        <f aca="false">Settings!$B$3-DATE(2026,7,10)</f>
        <v>69</v>
      </c>
      <c r="N84" s="31" t="n">
        <v>46212</v>
      </c>
      <c r="O84" s="26" t="s">
        <v>388</v>
      </c>
      <c r="P84" s="26" t="s">
        <v>28</v>
      </c>
      <c r="Q84" s="26" t="s">
        <v>389</v>
      </c>
      <c r="R84" s="33" t="s">
        <v>390</v>
      </c>
    </row>
    <row r="85" customFormat="false" ht="15" hidden="false" customHeight="false" outlineLevel="0" collapsed="false">
      <c r="A85" s="25" t="s">
        <v>391</v>
      </c>
      <c r="B85" s="26" t="s">
        <v>392</v>
      </c>
      <c r="C85" s="26" t="s">
        <v>16</v>
      </c>
      <c r="D85" s="26" t="s">
        <v>31</v>
      </c>
      <c r="E85" s="27" t="s">
        <v>59</v>
      </c>
      <c r="F85" s="27" t="s">
        <v>15</v>
      </c>
      <c r="G85" s="28" t="n">
        <v>50000</v>
      </c>
      <c r="H85" s="27" t="s">
        <v>60</v>
      </c>
      <c r="I85" s="29" t="n">
        <f aca="false">G85*INDEX(Settings!$B$6:$B$8,MATCH(H85,Settings!$A$6:$A$8,0))</f>
        <v>37000</v>
      </c>
      <c r="J85" s="30" t="n">
        <f aca="false">INDEX(Settings!$C$11:$C$16,MATCH(F85,Settings!$A$11:$A$16,0))</f>
        <v>0.5</v>
      </c>
      <c r="K85" s="29" t="n">
        <f aca="false">I85*J85</f>
        <v>18500</v>
      </c>
      <c r="L85" s="31" t="n">
        <v>46295</v>
      </c>
      <c r="M85" s="32" t="n">
        <f aca="false">Settings!$B$3-DATE(2026,7,10)</f>
        <v>69</v>
      </c>
      <c r="N85" s="31" t="n">
        <v>46213</v>
      </c>
      <c r="O85" s="26" t="s">
        <v>393</v>
      </c>
      <c r="P85" s="26" t="s">
        <v>30</v>
      </c>
      <c r="Q85" s="26" t="s">
        <v>394</v>
      </c>
      <c r="R85" s="33" t="s">
        <v>395</v>
      </c>
    </row>
    <row r="86" customFormat="false" ht="15" hidden="false" customHeight="false" outlineLevel="0" collapsed="false">
      <c r="A86" s="25" t="s">
        <v>396</v>
      </c>
      <c r="B86" s="26" t="s">
        <v>396</v>
      </c>
      <c r="C86" s="26" t="s">
        <v>16</v>
      </c>
      <c r="D86" s="26" t="s">
        <v>71</v>
      </c>
      <c r="E86" s="27" t="s">
        <v>94</v>
      </c>
      <c r="F86" s="27" t="s">
        <v>15</v>
      </c>
      <c r="G86" s="28" t="n">
        <v>30000</v>
      </c>
      <c r="H86" s="27" t="s">
        <v>77</v>
      </c>
      <c r="I86" s="29" t="n">
        <f aca="false">G86*INDEX(Settings!$B$6:$B$8,MATCH(H86,Settings!$A$6:$A$8,0))</f>
        <v>30000</v>
      </c>
      <c r="J86" s="30" t="n">
        <f aca="false">INDEX(Settings!$C$11:$C$16,MATCH(F86,Settings!$A$11:$A$16,0))</f>
        <v>0.5</v>
      </c>
      <c r="K86" s="29" t="n">
        <f aca="false">I86*J86</f>
        <v>15000</v>
      </c>
      <c r="L86" s="31" t="n">
        <v>46276</v>
      </c>
      <c r="M86" s="32" t="n">
        <f aca="false">Settings!$B$3-DATE(2026,8,16)</f>
        <v>32</v>
      </c>
      <c r="N86" s="31" t="n">
        <v>46250</v>
      </c>
      <c r="O86" s="26" t="s">
        <v>397</v>
      </c>
      <c r="P86" s="26" t="s">
        <v>41</v>
      </c>
      <c r="Q86" s="26" t="s">
        <v>398</v>
      </c>
      <c r="R86" s="33" t="s">
        <v>399</v>
      </c>
    </row>
    <row r="87" customFormat="false" ht="15" hidden="false" customHeight="false" outlineLevel="0" collapsed="false">
      <c r="A87" s="25" t="s">
        <v>400</v>
      </c>
      <c r="B87" s="26" t="s">
        <v>401</v>
      </c>
      <c r="C87" s="26" t="s">
        <v>14</v>
      </c>
      <c r="D87" s="26" t="s">
        <v>71</v>
      </c>
      <c r="E87" s="27" t="s">
        <v>94</v>
      </c>
      <c r="F87" s="27" t="s">
        <v>15</v>
      </c>
      <c r="G87" s="28" t="n">
        <v>35000</v>
      </c>
      <c r="H87" s="27" t="s">
        <v>60</v>
      </c>
      <c r="I87" s="29" t="n">
        <f aca="false">G87*INDEX(Settings!$B$6:$B$8,MATCH(H87,Settings!$A$6:$A$8,0))</f>
        <v>25900</v>
      </c>
      <c r="J87" s="30" t="n">
        <f aca="false">INDEX(Settings!$C$11:$C$16,MATCH(F87,Settings!$A$11:$A$16,0))</f>
        <v>0.5</v>
      </c>
      <c r="K87" s="29" t="n">
        <f aca="false">I87*J87</f>
        <v>12950</v>
      </c>
      <c r="L87" s="31" t="n">
        <v>46356</v>
      </c>
      <c r="M87" s="32" t="n">
        <f aca="false">Settings!$B$3-DATE(2026,9,9)</f>
        <v>8</v>
      </c>
      <c r="N87" s="31" t="n">
        <v>46274</v>
      </c>
      <c r="O87" s="26" t="s">
        <v>402</v>
      </c>
      <c r="P87" s="26" t="s">
        <v>38</v>
      </c>
      <c r="Q87" s="26" t="s">
        <v>403</v>
      </c>
      <c r="R87" s="33" t="s">
        <v>404</v>
      </c>
    </row>
    <row r="88" customFormat="false" ht="15" hidden="false" customHeight="false" outlineLevel="0" collapsed="false">
      <c r="A88" s="25" t="s">
        <v>405</v>
      </c>
      <c r="B88" s="26" t="s">
        <v>406</v>
      </c>
      <c r="C88" s="26" t="s">
        <v>18</v>
      </c>
      <c r="D88" s="26" t="s">
        <v>71</v>
      </c>
      <c r="E88" s="27" t="s">
        <v>59</v>
      </c>
      <c r="F88" s="27" t="s">
        <v>15</v>
      </c>
      <c r="G88" s="28" t="n">
        <v>30000</v>
      </c>
      <c r="H88" s="27" t="s">
        <v>84</v>
      </c>
      <c r="I88" s="29" t="n">
        <f aca="false">G88*INDEX(Settings!$B$6:$B$8,MATCH(H88,Settings!$A$6:$A$8,0))</f>
        <v>25500</v>
      </c>
      <c r="J88" s="30" t="n">
        <f aca="false">INDEX(Settings!$C$11:$C$16,MATCH(F88,Settings!$A$11:$A$16,0))</f>
        <v>0.5</v>
      </c>
      <c r="K88" s="29" t="n">
        <f aca="false">I88*J88</f>
        <v>12750</v>
      </c>
      <c r="L88" s="31" t="n">
        <v>46356</v>
      </c>
      <c r="M88" s="32" t="n">
        <f aca="false">Settings!$B$3-DATE(2026,9,17)</f>
        <v>0</v>
      </c>
      <c r="N88" s="31" t="n">
        <v>46282</v>
      </c>
      <c r="O88" s="26" t="s">
        <v>407</v>
      </c>
      <c r="P88" s="26" t="s">
        <v>38</v>
      </c>
      <c r="Q88" s="26" t="s">
        <v>353</v>
      </c>
      <c r="R88" s="33" t="s">
        <v>408</v>
      </c>
    </row>
    <row r="89" customFormat="false" ht="15" hidden="false" customHeight="false" outlineLevel="0" collapsed="false">
      <c r="A89" s="25" t="s">
        <v>409</v>
      </c>
      <c r="B89" s="26" t="s">
        <v>410</v>
      </c>
      <c r="C89" s="26" t="s">
        <v>14</v>
      </c>
      <c r="D89" s="26" t="s">
        <v>27</v>
      </c>
      <c r="E89" s="27" t="s">
        <v>59</v>
      </c>
      <c r="F89" s="27" t="s">
        <v>15</v>
      </c>
      <c r="G89" s="28" t="n">
        <v>30000</v>
      </c>
      <c r="H89" s="27" t="s">
        <v>60</v>
      </c>
      <c r="I89" s="29" t="n">
        <f aca="false">G89*INDEX(Settings!$B$6:$B$8,MATCH(H89,Settings!$A$6:$A$8,0))</f>
        <v>22200</v>
      </c>
      <c r="J89" s="30" t="n">
        <f aca="false">INDEX(Settings!$C$11:$C$16,MATCH(F89,Settings!$A$11:$A$16,0))</f>
        <v>0.5</v>
      </c>
      <c r="K89" s="29" t="n">
        <f aca="false">I89*J89</f>
        <v>11100</v>
      </c>
      <c r="L89" s="31" t="n">
        <v>46290</v>
      </c>
      <c r="M89" s="32" t="n">
        <f aca="false">Settings!$B$3-DATE(2026,9,10)</f>
        <v>7</v>
      </c>
      <c r="N89" s="31" t="n">
        <v>46252</v>
      </c>
      <c r="O89" s="26" t="s">
        <v>95</v>
      </c>
      <c r="P89" s="26" t="s">
        <v>28</v>
      </c>
      <c r="Q89" s="26" t="s">
        <v>411</v>
      </c>
      <c r="R89" s="33" t="s">
        <v>412</v>
      </c>
    </row>
    <row r="90" customFormat="false" ht="15" hidden="false" customHeight="false" outlineLevel="0" collapsed="false">
      <c r="A90" s="25" t="s">
        <v>413</v>
      </c>
      <c r="B90" s="26" t="s">
        <v>414</v>
      </c>
      <c r="C90" s="26" t="s">
        <v>18</v>
      </c>
      <c r="D90" s="26" t="s">
        <v>71</v>
      </c>
      <c r="E90" s="27" t="s">
        <v>94</v>
      </c>
      <c r="F90" s="27" t="s">
        <v>15</v>
      </c>
      <c r="G90" s="28" t="n">
        <v>20000</v>
      </c>
      <c r="H90" s="27" t="s">
        <v>77</v>
      </c>
      <c r="I90" s="29" t="n">
        <f aca="false">G90*INDEX(Settings!$B$6:$B$8,MATCH(H90,Settings!$A$6:$A$8,0))</f>
        <v>20000</v>
      </c>
      <c r="J90" s="30" t="n">
        <f aca="false">INDEX(Settings!$C$11:$C$16,MATCH(F90,Settings!$A$11:$A$16,0))</f>
        <v>0.5</v>
      </c>
      <c r="K90" s="29" t="n">
        <f aca="false">I90*J90</f>
        <v>10000</v>
      </c>
      <c r="L90" s="31" t="n">
        <v>46326</v>
      </c>
      <c r="M90" s="32" t="n">
        <f aca="false">Settings!$B$3-DATE(2026,3,19)</f>
        <v>182</v>
      </c>
      <c r="N90" s="31" t="n">
        <v>46100</v>
      </c>
      <c r="O90" s="26" t="s">
        <v>415</v>
      </c>
      <c r="P90" s="26" t="s">
        <v>38</v>
      </c>
      <c r="Q90" s="26" t="s">
        <v>416</v>
      </c>
      <c r="R90" s="33" t="s">
        <v>417</v>
      </c>
    </row>
    <row r="91" customFormat="false" ht="15" hidden="false" customHeight="false" outlineLevel="0" collapsed="false">
      <c r="A91" s="25" t="s">
        <v>375</v>
      </c>
      <c r="B91" s="26" t="s">
        <v>418</v>
      </c>
      <c r="C91" s="26" t="s">
        <v>16</v>
      </c>
      <c r="D91" s="26" t="s">
        <v>33</v>
      </c>
      <c r="E91" s="27" t="s">
        <v>59</v>
      </c>
      <c r="F91" s="27" t="s">
        <v>15</v>
      </c>
      <c r="G91" s="28" t="n">
        <v>25000</v>
      </c>
      <c r="H91" s="27" t="s">
        <v>60</v>
      </c>
      <c r="I91" s="29" t="n">
        <f aca="false">G91*INDEX(Settings!$B$6:$B$8,MATCH(H91,Settings!$A$6:$A$8,0))</f>
        <v>18500</v>
      </c>
      <c r="J91" s="30" t="n">
        <f aca="false">INDEX(Settings!$C$11:$C$16,MATCH(F91,Settings!$A$11:$A$16,0))</f>
        <v>0.5</v>
      </c>
      <c r="K91" s="29" t="n">
        <f aca="false">I91*J91</f>
        <v>9250</v>
      </c>
      <c r="L91" s="31"/>
      <c r="M91" s="32" t="n">
        <f aca="false">Settings!$B$3-DATE(2026,9,2)</f>
        <v>15</v>
      </c>
      <c r="N91" s="31" t="n">
        <v>46267</v>
      </c>
      <c r="O91" s="26" t="s">
        <v>376</v>
      </c>
      <c r="P91" s="26" t="s">
        <v>30</v>
      </c>
      <c r="Q91" s="26" t="s">
        <v>377</v>
      </c>
      <c r="R91" s="33" t="s">
        <v>378</v>
      </c>
    </row>
    <row r="92" customFormat="false" ht="15" hidden="false" customHeight="false" outlineLevel="0" collapsed="false">
      <c r="A92" s="25" t="s">
        <v>419</v>
      </c>
      <c r="B92" s="26" t="s">
        <v>420</v>
      </c>
      <c r="C92" s="26" t="s">
        <v>14</v>
      </c>
      <c r="D92" s="26" t="s">
        <v>71</v>
      </c>
      <c r="E92" s="27" t="s">
        <v>94</v>
      </c>
      <c r="F92" s="27" t="s">
        <v>15</v>
      </c>
      <c r="G92" s="28" t="n">
        <v>20000</v>
      </c>
      <c r="H92" s="27" t="s">
        <v>60</v>
      </c>
      <c r="I92" s="29" t="n">
        <f aca="false">G92*INDEX(Settings!$B$6:$B$8,MATCH(H92,Settings!$A$6:$A$8,0))</f>
        <v>14800</v>
      </c>
      <c r="J92" s="30" t="n">
        <f aca="false">INDEX(Settings!$C$11:$C$16,MATCH(F92,Settings!$A$11:$A$16,0))</f>
        <v>0.5</v>
      </c>
      <c r="K92" s="29" t="n">
        <f aca="false">I92*J92</f>
        <v>7400</v>
      </c>
      <c r="L92" s="31" t="n">
        <v>46387</v>
      </c>
      <c r="M92" s="32" t="n">
        <f aca="false">Settings!$B$3-DATE(2026,9,11)</f>
        <v>6</v>
      </c>
      <c r="N92" s="31" t="n">
        <v>46276</v>
      </c>
      <c r="O92" s="26" t="s">
        <v>421</v>
      </c>
      <c r="P92" s="26" t="s">
        <v>39</v>
      </c>
      <c r="Q92" s="26" t="s">
        <v>422</v>
      </c>
      <c r="R92" s="33" t="s">
        <v>423</v>
      </c>
    </row>
    <row r="93" customFormat="false" ht="15" hidden="false" customHeight="false" outlineLevel="0" collapsed="false">
      <c r="A93" s="25" t="s">
        <v>424</v>
      </c>
      <c r="B93" s="26" t="s">
        <v>425</v>
      </c>
      <c r="C93" s="26" t="s">
        <v>14</v>
      </c>
      <c r="D93" s="26" t="s">
        <v>71</v>
      </c>
      <c r="E93" s="27" t="s">
        <v>94</v>
      </c>
      <c r="F93" s="27" t="s">
        <v>15</v>
      </c>
      <c r="G93" s="28" t="n">
        <v>20000</v>
      </c>
      <c r="H93" s="27" t="s">
        <v>60</v>
      </c>
      <c r="I93" s="29" t="n">
        <f aca="false">G93*INDEX(Settings!$B$6:$B$8,MATCH(H93,Settings!$A$6:$A$8,0))</f>
        <v>14800</v>
      </c>
      <c r="J93" s="30" t="n">
        <f aca="false">INDEX(Settings!$C$11:$C$16,MATCH(F93,Settings!$A$11:$A$16,0))</f>
        <v>0.5</v>
      </c>
      <c r="K93" s="29" t="n">
        <f aca="false">I93*J93</f>
        <v>7400</v>
      </c>
      <c r="L93" s="31" t="n">
        <v>46295</v>
      </c>
      <c r="M93" s="32" t="n">
        <f aca="false">Settings!$B$3-DATE(2026,9,14)</f>
        <v>3</v>
      </c>
      <c r="N93" s="31" t="n">
        <v>46279</v>
      </c>
      <c r="O93" s="26" t="s">
        <v>426</v>
      </c>
      <c r="P93" s="26" t="s">
        <v>30</v>
      </c>
      <c r="Q93" s="26" t="s">
        <v>427</v>
      </c>
      <c r="R93" s="33" t="s">
        <v>428</v>
      </c>
    </row>
    <row r="94" customFormat="false" ht="15" hidden="false" customHeight="false" outlineLevel="0" collapsed="false">
      <c r="A94" s="25" t="s">
        <v>429</v>
      </c>
      <c r="B94" s="26" t="s">
        <v>430</v>
      </c>
      <c r="C94" s="26" t="s">
        <v>16</v>
      </c>
      <c r="D94" s="26" t="s">
        <v>33</v>
      </c>
      <c r="E94" s="27" t="s">
        <v>59</v>
      </c>
      <c r="F94" s="27" t="s">
        <v>15</v>
      </c>
      <c r="G94" s="28" t="n">
        <v>10000</v>
      </c>
      <c r="H94" s="27" t="s">
        <v>60</v>
      </c>
      <c r="I94" s="29" t="n">
        <f aca="false">G94*INDEX(Settings!$B$6:$B$8,MATCH(H94,Settings!$A$6:$A$8,0))</f>
        <v>7400</v>
      </c>
      <c r="J94" s="30" t="n">
        <f aca="false">INDEX(Settings!$C$11:$C$16,MATCH(F94,Settings!$A$11:$A$16,0))</f>
        <v>0.5</v>
      </c>
      <c r="K94" s="29" t="n">
        <f aca="false">I94*J94</f>
        <v>3700</v>
      </c>
      <c r="L94" s="31" t="n">
        <v>46297</v>
      </c>
      <c r="M94" s="32" t="n">
        <f aca="false">Settings!$B$3-DATE(2026,9,2)</f>
        <v>15</v>
      </c>
      <c r="N94" s="31" t="n">
        <v>46267</v>
      </c>
      <c r="O94" s="26" t="s">
        <v>431</v>
      </c>
      <c r="P94" s="26" t="s">
        <v>39</v>
      </c>
      <c r="Q94" s="26" t="s">
        <v>432</v>
      </c>
      <c r="R94" s="33" t="s">
        <v>433</v>
      </c>
    </row>
    <row r="95" customFormat="false" ht="15" hidden="false" customHeight="false" outlineLevel="0" collapsed="false">
      <c r="A95" s="25" t="s">
        <v>434</v>
      </c>
      <c r="B95" s="26" t="s">
        <v>435</v>
      </c>
      <c r="C95" s="26" t="s">
        <v>16</v>
      </c>
      <c r="D95" s="26" t="s">
        <v>31</v>
      </c>
      <c r="E95" s="27" t="s">
        <v>59</v>
      </c>
      <c r="F95" s="27" t="s">
        <v>15</v>
      </c>
      <c r="G95" s="28" t="n">
        <v>6000</v>
      </c>
      <c r="H95" s="27" t="s">
        <v>77</v>
      </c>
      <c r="I95" s="29" t="n">
        <f aca="false">G95*INDEX(Settings!$B$6:$B$8,MATCH(H95,Settings!$A$6:$A$8,0))</f>
        <v>6000</v>
      </c>
      <c r="J95" s="30" t="n">
        <f aca="false">INDEX(Settings!$C$11:$C$16,MATCH(F95,Settings!$A$11:$A$16,0))</f>
        <v>0.5</v>
      </c>
      <c r="K95" s="29" t="n">
        <f aca="false">I95*J95</f>
        <v>3000</v>
      </c>
      <c r="L95" s="31" t="n">
        <v>46290</v>
      </c>
      <c r="M95" s="32" t="n">
        <f aca="false">Settings!$B$3-DATE(2026,9,1)</f>
        <v>16</v>
      </c>
      <c r="N95" s="31" t="n">
        <v>46266</v>
      </c>
      <c r="O95" s="26" t="s">
        <v>436</v>
      </c>
      <c r="P95" s="26" t="s">
        <v>30</v>
      </c>
      <c r="Q95" s="26" t="s">
        <v>437</v>
      </c>
      <c r="R95" s="33" t="s">
        <v>438</v>
      </c>
    </row>
    <row r="96" customFormat="false" ht="15" hidden="false" customHeight="false" outlineLevel="0" collapsed="false">
      <c r="A96" s="25" t="s">
        <v>439</v>
      </c>
      <c r="B96" s="26" t="s">
        <v>440</v>
      </c>
      <c r="C96" s="26" t="s">
        <v>14</v>
      </c>
      <c r="D96" s="26" t="s">
        <v>71</v>
      </c>
      <c r="E96" s="27" t="s">
        <v>94</v>
      </c>
      <c r="F96" s="27" t="s">
        <v>15</v>
      </c>
      <c r="G96" s="28" t="n">
        <v>0</v>
      </c>
      <c r="H96" s="27" t="s">
        <v>60</v>
      </c>
      <c r="I96" s="29" t="n">
        <f aca="false">G96*INDEX(Settings!$B$6:$B$8,MATCH(H96,Settings!$A$6:$A$8,0))</f>
        <v>0</v>
      </c>
      <c r="J96" s="30" t="n">
        <f aca="false">INDEX(Settings!$C$11:$C$16,MATCH(F96,Settings!$A$11:$A$16,0))</f>
        <v>0.5</v>
      </c>
      <c r="K96" s="29" t="n">
        <f aca="false">I96*J96</f>
        <v>0</v>
      </c>
      <c r="L96" s="31" t="n">
        <v>46387</v>
      </c>
      <c r="M96" s="32" t="n">
        <f aca="false">Settings!$B$3-DATE(2026,9,10)</f>
        <v>7</v>
      </c>
      <c r="N96" s="31" t="n">
        <v>46274</v>
      </c>
      <c r="O96" s="26" t="s">
        <v>441</v>
      </c>
      <c r="P96" s="26" t="s">
        <v>36</v>
      </c>
      <c r="Q96" s="26" t="s">
        <v>442</v>
      </c>
      <c r="R96" s="33" t="s">
        <v>443</v>
      </c>
    </row>
    <row r="97" customFormat="false" ht="15" hidden="false" customHeight="false" outlineLevel="0" collapsed="false">
      <c r="A97" s="25" t="s">
        <v>444</v>
      </c>
      <c r="B97" s="26" t="s">
        <v>445</v>
      </c>
      <c r="C97" s="26" t="s">
        <v>14</v>
      </c>
      <c r="D97" s="26" t="s">
        <v>71</v>
      </c>
      <c r="E97" s="27" t="s">
        <v>94</v>
      </c>
      <c r="F97" s="27" t="s">
        <v>15</v>
      </c>
      <c r="G97" s="28" t="n">
        <v>0</v>
      </c>
      <c r="H97" s="27" t="s">
        <v>84</v>
      </c>
      <c r="I97" s="29" t="n">
        <f aca="false">G97*INDEX(Settings!$B$6:$B$8,MATCH(H97,Settings!$A$6:$A$8,0))</f>
        <v>0</v>
      </c>
      <c r="J97" s="30" t="n">
        <f aca="false">INDEX(Settings!$C$11:$C$16,MATCH(F97,Settings!$A$11:$A$16,0))</f>
        <v>0.5</v>
      </c>
      <c r="K97" s="29" t="n">
        <f aca="false">I97*J97</f>
        <v>0</v>
      </c>
      <c r="L97" s="31" t="n">
        <v>46356</v>
      </c>
      <c r="M97" s="32" t="n">
        <f aca="false">Settings!$B$3-DATE(2026,9,15)</f>
        <v>2</v>
      </c>
      <c r="N97" s="31" t="n">
        <v>46280</v>
      </c>
      <c r="O97" s="26" t="s">
        <v>446</v>
      </c>
      <c r="P97" s="26" t="s">
        <v>43</v>
      </c>
      <c r="Q97" s="26" t="s">
        <v>447</v>
      </c>
      <c r="R97" s="33" t="s">
        <v>448</v>
      </c>
    </row>
    <row r="98" customFormat="false" ht="15" hidden="false" customHeight="false" outlineLevel="0" collapsed="false">
      <c r="A98" s="25" t="s">
        <v>57</v>
      </c>
      <c r="B98" s="26" t="s">
        <v>449</v>
      </c>
      <c r="C98" s="26" t="s">
        <v>14</v>
      </c>
      <c r="D98" s="26" t="s">
        <v>29</v>
      </c>
      <c r="E98" s="27" t="s">
        <v>59</v>
      </c>
      <c r="F98" s="27" t="s">
        <v>13</v>
      </c>
      <c r="G98" s="28" t="n">
        <v>600000</v>
      </c>
      <c r="H98" s="27" t="s">
        <v>60</v>
      </c>
      <c r="I98" s="29" t="n">
        <f aca="false">G98*INDEX(Settings!$B$6:$B$8,MATCH(H98,Settings!$A$6:$A$8,0))</f>
        <v>444000</v>
      </c>
      <c r="J98" s="30" t="n">
        <f aca="false">INDEX(Settings!$C$11:$C$16,MATCH(F98,Settings!$A$11:$A$16,0))</f>
        <v>0.45</v>
      </c>
      <c r="K98" s="29" t="n">
        <f aca="false">I98*J98</f>
        <v>199800</v>
      </c>
      <c r="L98" s="31" t="n">
        <v>46387</v>
      </c>
      <c r="M98" s="32" t="n">
        <f aca="false">Settings!$B$3-DATE(2026,8,31)</f>
        <v>17</v>
      </c>
      <c r="N98" s="31" t="n">
        <v>46252</v>
      </c>
      <c r="O98" s="26" t="s">
        <v>61</v>
      </c>
      <c r="P98" s="26" t="s">
        <v>30</v>
      </c>
      <c r="Q98" s="26" t="s">
        <v>62</v>
      </c>
      <c r="R98" s="33" t="s">
        <v>63</v>
      </c>
    </row>
    <row r="99" customFormat="false" ht="15" hidden="false" customHeight="false" outlineLevel="0" collapsed="false">
      <c r="A99" s="25" t="s">
        <v>450</v>
      </c>
      <c r="B99" s="26" t="s">
        <v>451</v>
      </c>
      <c r="C99" s="26" t="s">
        <v>16</v>
      </c>
      <c r="D99" s="26" t="s">
        <v>71</v>
      </c>
      <c r="E99" s="27" t="s">
        <v>59</v>
      </c>
      <c r="F99" s="27" t="s">
        <v>13</v>
      </c>
      <c r="G99" s="28" t="n">
        <v>200000</v>
      </c>
      <c r="H99" s="27" t="s">
        <v>77</v>
      </c>
      <c r="I99" s="29" t="n">
        <f aca="false">G99*INDEX(Settings!$B$6:$B$8,MATCH(H99,Settings!$A$6:$A$8,0))</f>
        <v>200000</v>
      </c>
      <c r="J99" s="30" t="n">
        <f aca="false">INDEX(Settings!$C$11:$C$16,MATCH(F99,Settings!$A$11:$A$16,0))</f>
        <v>0.45</v>
      </c>
      <c r="K99" s="29" t="n">
        <f aca="false">I99*J99</f>
        <v>90000</v>
      </c>
      <c r="L99" s="31" t="n">
        <v>46325</v>
      </c>
      <c r="M99" s="32" t="n">
        <f aca="false">Settings!$B$3-DATE(2026,8,19)</f>
        <v>29</v>
      </c>
      <c r="N99" s="31" t="n">
        <v>46253</v>
      </c>
      <c r="O99" s="26" t="s">
        <v>452</v>
      </c>
      <c r="P99" s="26" t="s">
        <v>32</v>
      </c>
      <c r="Q99" s="26" t="s">
        <v>99</v>
      </c>
      <c r="R99" s="33" t="s">
        <v>453</v>
      </c>
    </row>
    <row r="100" customFormat="false" ht="15" hidden="false" customHeight="false" outlineLevel="0" collapsed="false">
      <c r="A100" s="25" t="s">
        <v>124</v>
      </c>
      <c r="B100" s="26" t="s">
        <v>454</v>
      </c>
      <c r="C100" s="26" t="s">
        <v>14</v>
      </c>
      <c r="D100" s="26" t="s">
        <v>27</v>
      </c>
      <c r="E100" s="27" t="s">
        <v>59</v>
      </c>
      <c r="F100" s="27" t="s">
        <v>13</v>
      </c>
      <c r="G100" s="28" t="n">
        <v>100000</v>
      </c>
      <c r="H100" s="27" t="s">
        <v>77</v>
      </c>
      <c r="I100" s="29" t="n">
        <f aca="false">G100*INDEX(Settings!$B$6:$B$8,MATCH(H100,Settings!$A$6:$A$8,0))</f>
        <v>100000</v>
      </c>
      <c r="J100" s="30" t="n">
        <f aca="false">INDEX(Settings!$C$11:$C$16,MATCH(F100,Settings!$A$11:$A$16,0))</f>
        <v>0.45</v>
      </c>
      <c r="K100" s="29" t="n">
        <f aca="false">I100*J100</f>
        <v>45000</v>
      </c>
      <c r="L100" s="31" t="n">
        <v>46356</v>
      </c>
      <c r="M100" s="32" t="n">
        <f aca="false">Settings!$B$3-DATE(2026,8,18)</f>
        <v>30</v>
      </c>
      <c r="N100" s="31" t="n">
        <v>46252</v>
      </c>
      <c r="O100" s="26" t="s">
        <v>126</v>
      </c>
      <c r="P100" s="26" t="s">
        <v>28</v>
      </c>
      <c r="Q100" s="26" t="s">
        <v>73</v>
      </c>
      <c r="R100" s="33" t="s">
        <v>127</v>
      </c>
    </row>
    <row r="101" customFormat="false" ht="15" hidden="false" customHeight="false" outlineLevel="0" collapsed="false">
      <c r="A101" s="25" t="s">
        <v>455</v>
      </c>
      <c r="B101" s="26" t="s">
        <v>456</v>
      </c>
      <c r="C101" s="26" t="s">
        <v>16</v>
      </c>
      <c r="D101" s="26" t="s">
        <v>35</v>
      </c>
      <c r="E101" s="27" t="s">
        <v>59</v>
      </c>
      <c r="F101" s="27" t="s">
        <v>13</v>
      </c>
      <c r="G101" s="28" t="n">
        <v>100000</v>
      </c>
      <c r="H101" s="27" t="s">
        <v>84</v>
      </c>
      <c r="I101" s="29" t="n">
        <f aca="false">G101*INDEX(Settings!$B$6:$B$8,MATCH(H101,Settings!$A$6:$A$8,0))</f>
        <v>85000</v>
      </c>
      <c r="J101" s="30" t="n">
        <f aca="false">INDEX(Settings!$C$11:$C$16,MATCH(F101,Settings!$A$11:$A$16,0))</f>
        <v>0.45</v>
      </c>
      <c r="K101" s="29" t="n">
        <f aca="false">I101*J101</f>
        <v>38250</v>
      </c>
      <c r="L101" s="31" t="n">
        <v>46325</v>
      </c>
      <c r="M101" s="32" t="n">
        <f aca="false">Settings!$B$3-DATE(2026,3,2)</f>
        <v>199</v>
      </c>
      <c r="N101" s="31" t="n">
        <v>46083</v>
      </c>
      <c r="O101" s="26" t="s">
        <v>457</v>
      </c>
      <c r="P101" s="26" t="s">
        <v>32</v>
      </c>
      <c r="Q101" s="26" t="s">
        <v>385</v>
      </c>
      <c r="R101" s="33" t="s">
        <v>458</v>
      </c>
    </row>
    <row r="102" customFormat="false" ht="15" hidden="false" customHeight="false" outlineLevel="0" collapsed="false">
      <c r="A102" s="25" t="s">
        <v>459</v>
      </c>
      <c r="B102" s="26" t="s">
        <v>460</v>
      </c>
      <c r="C102" s="26" t="s">
        <v>16</v>
      </c>
      <c r="D102" s="26" t="s">
        <v>71</v>
      </c>
      <c r="E102" s="27" t="s">
        <v>94</v>
      </c>
      <c r="F102" s="27" t="s">
        <v>13</v>
      </c>
      <c r="G102" s="28" t="n">
        <v>60000</v>
      </c>
      <c r="H102" s="27" t="s">
        <v>77</v>
      </c>
      <c r="I102" s="29" t="n">
        <f aca="false">G102*INDEX(Settings!$B$6:$B$8,MATCH(H102,Settings!$A$6:$A$8,0))</f>
        <v>60000</v>
      </c>
      <c r="J102" s="30" t="n">
        <f aca="false">INDEX(Settings!$C$11:$C$16,MATCH(F102,Settings!$A$11:$A$16,0))</f>
        <v>0.45</v>
      </c>
      <c r="K102" s="29" t="n">
        <f aca="false">I102*J102</f>
        <v>27000</v>
      </c>
      <c r="L102" s="31" t="n">
        <v>46356</v>
      </c>
      <c r="M102" s="32" t="n">
        <f aca="false">Settings!$B$3-DATE(2026,7,28)</f>
        <v>51</v>
      </c>
      <c r="N102" s="31" t="n">
        <v>45967</v>
      </c>
      <c r="O102" s="26" t="s">
        <v>461</v>
      </c>
      <c r="P102" s="26" t="s">
        <v>42</v>
      </c>
      <c r="Q102" s="26" t="s">
        <v>462</v>
      </c>
      <c r="R102" s="33" t="s">
        <v>463</v>
      </c>
    </row>
    <row r="103" customFormat="false" ht="15" hidden="false" customHeight="false" outlineLevel="0" collapsed="false">
      <c r="A103" s="25" t="s">
        <v>464</v>
      </c>
      <c r="B103" s="26" t="s">
        <v>465</v>
      </c>
      <c r="C103" s="26" t="s">
        <v>18</v>
      </c>
      <c r="D103" s="26" t="s">
        <v>71</v>
      </c>
      <c r="E103" s="27" t="s">
        <v>94</v>
      </c>
      <c r="F103" s="27" t="s">
        <v>13</v>
      </c>
      <c r="G103" s="28" t="n">
        <v>60000</v>
      </c>
      <c r="H103" s="27" t="s">
        <v>84</v>
      </c>
      <c r="I103" s="29" t="n">
        <f aca="false">G103*INDEX(Settings!$B$6:$B$8,MATCH(H103,Settings!$A$6:$A$8,0))</f>
        <v>51000</v>
      </c>
      <c r="J103" s="30" t="n">
        <f aca="false">INDEX(Settings!$C$11:$C$16,MATCH(F103,Settings!$A$11:$A$16,0))</f>
        <v>0.45</v>
      </c>
      <c r="K103" s="29" t="n">
        <f aca="false">I103*J103</f>
        <v>22950</v>
      </c>
      <c r="L103" s="31" t="n">
        <v>46326</v>
      </c>
      <c r="M103" s="32" t="n">
        <f aca="false">Settings!$B$3-DATE(2026,3,20)</f>
        <v>181</v>
      </c>
      <c r="N103" s="31" t="n">
        <v>46083</v>
      </c>
      <c r="O103" s="26" t="s">
        <v>466</v>
      </c>
      <c r="P103" s="26" t="s">
        <v>38</v>
      </c>
      <c r="Q103" s="26" t="s">
        <v>117</v>
      </c>
      <c r="R103" s="33" t="s">
        <v>467</v>
      </c>
    </row>
    <row r="104" customFormat="false" ht="15" hidden="false" customHeight="false" outlineLevel="0" collapsed="false">
      <c r="A104" s="25" t="s">
        <v>468</v>
      </c>
      <c r="B104" s="26" t="s">
        <v>469</v>
      </c>
      <c r="C104" s="26" t="s">
        <v>16</v>
      </c>
      <c r="D104" s="26" t="s">
        <v>35</v>
      </c>
      <c r="E104" s="27" t="s">
        <v>59</v>
      </c>
      <c r="F104" s="27" t="s">
        <v>13</v>
      </c>
      <c r="G104" s="28" t="n">
        <v>50000</v>
      </c>
      <c r="H104" s="27" t="s">
        <v>77</v>
      </c>
      <c r="I104" s="29" t="n">
        <f aca="false">G104*INDEX(Settings!$B$6:$B$8,MATCH(H104,Settings!$A$6:$A$8,0))</f>
        <v>50000</v>
      </c>
      <c r="J104" s="30" t="n">
        <f aca="false">INDEX(Settings!$C$11:$C$16,MATCH(F104,Settings!$A$11:$A$16,0))</f>
        <v>0.45</v>
      </c>
      <c r="K104" s="29" t="n">
        <f aca="false">I104*J104</f>
        <v>22500</v>
      </c>
      <c r="L104" s="31" t="n">
        <v>46311</v>
      </c>
      <c r="M104" s="32" t="n">
        <f aca="false">Settings!$B$3-DATE(2026,8,19)</f>
        <v>29</v>
      </c>
      <c r="N104" s="31" t="n">
        <v>46253</v>
      </c>
      <c r="O104" s="26" t="s">
        <v>470</v>
      </c>
      <c r="P104" s="26" t="s">
        <v>28</v>
      </c>
      <c r="Q104" s="26" t="s">
        <v>73</v>
      </c>
      <c r="R104" s="33" t="s">
        <v>471</v>
      </c>
    </row>
    <row r="105" customFormat="false" ht="15" hidden="false" customHeight="false" outlineLevel="0" collapsed="false">
      <c r="A105" s="25" t="s">
        <v>472</v>
      </c>
      <c r="B105" s="26" t="s">
        <v>473</v>
      </c>
      <c r="C105" s="26" t="s">
        <v>14</v>
      </c>
      <c r="D105" s="26" t="s">
        <v>71</v>
      </c>
      <c r="E105" s="27" t="s">
        <v>94</v>
      </c>
      <c r="F105" s="27" t="s">
        <v>13</v>
      </c>
      <c r="G105" s="28" t="n">
        <v>60000</v>
      </c>
      <c r="H105" s="27" t="s">
        <v>60</v>
      </c>
      <c r="I105" s="29" t="n">
        <f aca="false">G105*INDEX(Settings!$B$6:$B$8,MATCH(H105,Settings!$A$6:$A$8,0))</f>
        <v>44400</v>
      </c>
      <c r="J105" s="30" t="n">
        <f aca="false">INDEX(Settings!$C$11:$C$16,MATCH(F105,Settings!$A$11:$A$16,0))</f>
        <v>0.45</v>
      </c>
      <c r="K105" s="29" t="n">
        <f aca="false">I105*J105</f>
        <v>19980</v>
      </c>
      <c r="L105" s="31" t="n">
        <v>46325</v>
      </c>
      <c r="M105" s="32" t="n">
        <f aca="false">Settings!$B$3-DATE(2026,9,10)</f>
        <v>7</v>
      </c>
      <c r="N105" s="31" t="n">
        <v>46183</v>
      </c>
      <c r="O105" s="26" t="s">
        <v>474</v>
      </c>
      <c r="P105" s="26" t="s">
        <v>36</v>
      </c>
      <c r="Q105" s="26" t="s">
        <v>475</v>
      </c>
      <c r="R105" s="33" t="s">
        <v>476</v>
      </c>
    </row>
    <row r="106" customFormat="false" ht="15" hidden="false" customHeight="false" outlineLevel="0" collapsed="false">
      <c r="A106" s="25" t="s">
        <v>134</v>
      </c>
      <c r="B106" s="26" t="s">
        <v>477</v>
      </c>
      <c r="C106" s="26" t="s">
        <v>14</v>
      </c>
      <c r="D106" s="26" t="s">
        <v>29</v>
      </c>
      <c r="E106" s="27" t="s">
        <v>59</v>
      </c>
      <c r="F106" s="27" t="s">
        <v>13</v>
      </c>
      <c r="G106" s="28" t="n">
        <v>50000</v>
      </c>
      <c r="H106" s="27" t="s">
        <v>84</v>
      </c>
      <c r="I106" s="29" t="n">
        <f aca="false">G106*INDEX(Settings!$B$6:$B$8,MATCH(H106,Settings!$A$6:$A$8,0))</f>
        <v>42500</v>
      </c>
      <c r="J106" s="30" t="n">
        <f aca="false">INDEX(Settings!$C$11:$C$16,MATCH(F106,Settings!$A$11:$A$16,0))</f>
        <v>0.45</v>
      </c>
      <c r="K106" s="29" t="n">
        <f aca="false">I106*J106</f>
        <v>19125</v>
      </c>
      <c r="L106" s="31" t="n">
        <v>46387</v>
      </c>
      <c r="M106" s="32" t="n">
        <f aca="false">Settings!$B$3-DATE(2026,9,15)</f>
        <v>2</v>
      </c>
      <c r="N106" s="31" t="n">
        <v>46280</v>
      </c>
      <c r="O106" s="26" t="s">
        <v>136</v>
      </c>
      <c r="P106" s="26" t="s">
        <v>32</v>
      </c>
      <c r="Q106" s="26" t="s">
        <v>137</v>
      </c>
      <c r="R106" s="33" t="s">
        <v>138</v>
      </c>
    </row>
    <row r="107" customFormat="false" ht="15" hidden="false" customHeight="false" outlineLevel="0" collapsed="false">
      <c r="A107" s="25" t="s">
        <v>478</v>
      </c>
      <c r="B107" s="26" t="s">
        <v>479</v>
      </c>
      <c r="C107" s="26" t="s">
        <v>18</v>
      </c>
      <c r="D107" s="26" t="s">
        <v>71</v>
      </c>
      <c r="E107" s="27" t="s">
        <v>59</v>
      </c>
      <c r="F107" s="27" t="s">
        <v>13</v>
      </c>
      <c r="G107" s="28" t="n">
        <v>50000</v>
      </c>
      <c r="H107" s="27" t="s">
        <v>60</v>
      </c>
      <c r="I107" s="29" t="n">
        <f aca="false">G107*INDEX(Settings!$B$6:$B$8,MATCH(H107,Settings!$A$6:$A$8,0))</f>
        <v>37000</v>
      </c>
      <c r="J107" s="30" t="n">
        <f aca="false">INDEX(Settings!$C$11:$C$16,MATCH(F107,Settings!$A$11:$A$16,0))</f>
        <v>0.45</v>
      </c>
      <c r="K107" s="29" t="n">
        <f aca="false">I107*J107</f>
        <v>16650</v>
      </c>
      <c r="L107" s="31" t="n">
        <v>46326</v>
      </c>
      <c r="M107" s="32" t="n">
        <f aca="false">Settings!$B$3-DATE(2026,8,7)</f>
        <v>41</v>
      </c>
      <c r="N107" s="31" t="n">
        <v>46063</v>
      </c>
      <c r="O107" s="26" t="s">
        <v>480</v>
      </c>
      <c r="P107" s="26" t="s">
        <v>30</v>
      </c>
      <c r="Q107" s="26" t="s">
        <v>481</v>
      </c>
      <c r="R107" s="33" t="s">
        <v>482</v>
      </c>
    </row>
    <row r="108" customFormat="false" ht="15" hidden="false" customHeight="false" outlineLevel="0" collapsed="false">
      <c r="A108" s="25" t="s">
        <v>168</v>
      </c>
      <c r="B108" s="26" t="s">
        <v>483</v>
      </c>
      <c r="C108" s="26" t="s">
        <v>14</v>
      </c>
      <c r="D108" s="26" t="s">
        <v>29</v>
      </c>
      <c r="E108" s="27" t="s">
        <v>59</v>
      </c>
      <c r="F108" s="27" t="s">
        <v>13</v>
      </c>
      <c r="G108" s="28" t="n">
        <v>50000</v>
      </c>
      <c r="H108" s="27" t="s">
        <v>60</v>
      </c>
      <c r="I108" s="29" t="n">
        <f aca="false">G108*INDEX(Settings!$B$6:$B$8,MATCH(H108,Settings!$A$6:$A$8,0))</f>
        <v>37000</v>
      </c>
      <c r="J108" s="30" t="n">
        <f aca="false">INDEX(Settings!$C$11:$C$16,MATCH(F108,Settings!$A$11:$A$16,0))</f>
        <v>0.45</v>
      </c>
      <c r="K108" s="29" t="n">
        <f aca="false">I108*J108</f>
        <v>16650</v>
      </c>
      <c r="L108" s="31" t="n">
        <v>46325</v>
      </c>
      <c r="M108" s="32" t="n">
        <f aca="false">Settings!$B$3-DATE(2026,9,10)</f>
        <v>7</v>
      </c>
      <c r="N108" s="31" t="n">
        <v>46252</v>
      </c>
      <c r="O108" s="26" t="s">
        <v>170</v>
      </c>
      <c r="P108" s="26" t="s">
        <v>28</v>
      </c>
      <c r="Q108" s="26" t="s">
        <v>73</v>
      </c>
      <c r="R108" s="33" t="s">
        <v>171</v>
      </c>
    </row>
    <row r="109" customFormat="false" ht="15" hidden="false" customHeight="false" outlineLevel="0" collapsed="false">
      <c r="A109" s="25" t="s">
        <v>484</v>
      </c>
      <c r="B109" s="26" t="s">
        <v>485</v>
      </c>
      <c r="C109" s="26" t="s">
        <v>14</v>
      </c>
      <c r="D109" s="26" t="s">
        <v>27</v>
      </c>
      <c r="E109" s="27" t="s">
        <v>59</v>
      </c>
      <c r="F109" s="27" t="s">
        <v>13</v>
      </c>
      <c r="G109" s="28" t="n">
        <v>50000</v>
      </c>
      <c r="H109" s="27" t="s">
        <v>60</v>
      </c>
      <c r="I109" s="29" t="n">
        <f aca="false">G109*INDEX(Settings!$B$6:$B$8,MATCH(H109,Settings!$A$6:$A$8,0))</f>
        <v>37000</v>
      </c>
      <c r="J109" s="30" t="n">
        <f aca="false">INDEX(Settings!$C$11:$C$16,MATCH(F109,Settings!$A$11:$A$16,0))</f>
        <v>0.45</v>
      </c>
      <c r="K109" s="29" t="n">
        <f aca="false">I109*J109</f>
        <v>16650</v>
      </c>
      <c r="L109" s="31" t="n">
        <v>46325</v>
      </c>
      <c r="M109" s="32" t="n">
        <f aca="false">Settings!$B$3-DATE(2026,8,18)</f>
        <v>30</v>
      </c>
      <c r="N109" s="31" t="n">
        <v>46252</v>
      </c>
      <c r="O109" s="26" t="s">
        <v>486</v>
      </c>
      <c r="P109" s="26" t="s">
        <v>43</v>
      </c>
      <c r="Q109" s="26" t="s">
        <v>487</v>
      </c>
      <c r="R109" s="33" t="s">
        <v>488</v>
      </c>
    </row>
    <row r="110" customFormat="false" ht="15" hidden="false" customHeight="false" outlineLevel="0" collapsed="false">
      <c r="A110" s="25" t="s">
        <v>332</v>
      </c>
      <c r="B110" s="26" t="s">
        <v>489</v>
      </c>
      <c r="C110" s="26" t="s">
        <v>14</v>
      </c>
      <c r="D110" s="26" t="s">
        <v>29</v>
      </c>
      <c r="E110" s="27" t="s">
        <v>59</v>
      </c>
      <c r="F110" s="27" t="s">
        <v>13</v>
      </c>
      <c r="G110" s="28" t="n">
        <v>50000</v>
      </c>
      <c r="H110" s="27" t="s">
        <v>60</v>
      </c>
      <c r="I110" s="29" t="n">
        <f aca="false">G110*INDEX(Settings!$B$6:$B$8,MATCH(H110,Settings!$A$6:$A$8,0))</f>
        <v>37000</v>
      </c>
      <c r="J110" s="30" t="n">
        <f aca="false">INDEX(Settings!$C$11:$C$16,MATCH(F110,Settings!$A$11:$A$16,0))</f>
        <v>0.45</v>
      </c>
      <c r="K110" s="29" t="n">
        <f aca="false">I110*J110</f>
        <v>16650</v>
      </c>
      <c r="L110" s="31" t="n">
        <v>46325</v>
      </c>
      <c r="M110" s="32" t="n">
        <f aca="false">Settings!$B$3-DATE(2026,8,18)</f>
        <v>30</v>
      </c>
      <c r="N110" s="31" t="n">
        <v>46252</v>
      </c>
      <c r="O110" s="26" t="s">
        <v>334</v>
      </c>
      <c r="P110" s="26" t="s">
        <v>30</v>
      </c>
      <c r="Q110" s="26" t="s">
        <v>240</v>
      </c>
      <c r="R110" s="33" t="s">
        <v>335</v>
      </c>
    </row>
    <row r="111" customFormat="false" ht="15" hidden="false" customHeight="false" outlineLevel="0" collapsed="false">
      <c r="A111" s="25" t="s">
        <v>490</v>
      </c>
      <c r="B111" s="26" t="s">
        <v>491</v>
      </c>
      <c r="C111" s="26" t="s">
        <v>14</v>
      </c>
      <c r="D111" s="26" t="s">
        <v>71</v>
      </c>
      <c r="E111" s="27" t="s">
        <v>94</v>
      </c>
      <c r="F111" s="27" t="s">
        <v>13</v>
      </c>
      <c r="G111" s="28" t="n">
        <v>50000</v>
      </c>
      <c r="H111" s="27" t="s">
        <v>60</v>
      </c>
      <c r="I111" s="29" t="n">
        <f aca="false">G111*INDEX(Settings!$B$6:$B$8,MATCH(H111,Settings!$A$6:$A$8,0))</f>
        <v>37000</v>
      </c>
      <c r="J111" s="30" t="n">
        <f aca="false">INDEX(Settings!$C$11:$C$16,MATCH(F111,Settings!$A$11:$A$16,0))</f>
        <v>0.45</v>
      </c>
      <c r="K111" s="29" t="n">
        <f aca="false">I111*J111</f>
        <v>16650</v>
      </c>
      <c r="L111" s="31" t="n">
        <v>46387</v>
      </c>
      <c r="M111" s="32" t="n">
        <f aca="false">Settings!$B$3-DATE(2026,9,15)</f>
        <v>2</v>
      </c>
      <c r="N111" s="31" t="n">
        <v>46280</v>
      </c>
      <c r="O111" s="26" t="s">
        <v>492</v>
      </c>
      <c r="P111" s="26" t="s">
        <v>28</v>
      </c>
      <c r="Q111" s="26" t="s">
        <v>493</v>
      </c>
      <c r="R111" s="33" t="s">
        <v>494</v>
      </c>
    </row>
    <row r="112" customFormat="false" ht="15" hidden="false" customHeight="false" outlineLevel="0" collapsed="false">
      <c r="A112" s="25" t="s">
        <v>495</v>
      </c>
      <c r="B112" s="26" t="s">
        <v>496</v>
      </c>
      <c r="C112" s="26" t="s">
        <v>18</v>
      </c>
      <c r="D112" s="26" t="s">
        <v>71</v>
      </c>
      <c r="E112" s="27" t="s">
        <v>94</v>
      </c>
      <c r="F112" s="27" t="s">
        <v>13</v>
      </c>
      <c r="G112" s="28" t="n">
        <v>30000</v>
      </c>
      <c r="H112" s="27" t="s">
        <v>77</v>
      </c>
      <c r="I112" s="29" t="n">
        <f aca="false">G112*INDEX(Settings!$B$6:$B$8,MATCH(H112,Settings!$A$6:$A$8,0))</f>
        <v>30000</v>
      </c>
      <c r="J112" s="30" t="n">
        <f aca="false">INDEX(Settings!$C$11:$C$16,MATCH(F112,Settings!$A$11:$A$16,0))</f>
        <v>0.45</v>
      </c>
      <c r="K112" s="29" t="n">
        <f aca="false">I112*J112</f>
        <v>13500</v>
      </c>
      <c r="L112" s="31" t="n">
        <v>46326</v>
      </c>
      <c r="M112" s="32" t="n">
        <f aca="false">Settings!$B$3-DATE(2026,7,16)</f>
        <v>63</v>
      </c>
      <c r="N112" s="31" t="n">
        <v>46104</v>
      </c>
      <c r="O112" s="26" t="s">
        <v>497</v>
      </c>
      <c r="P112" s="26"/>
      <c r="Q112" s="26"/>
      <c r="R112" s="26"/>
    </row>
    <row r="113" customFormat="false" ht="15" hidden="false" customHeight="false" outlineLevel="0" collapsed="false">
      <c r="A113" s="25" t="s">
        <v>498</v>
      </c>
      <c r="B113" s="26" t="s">
        <v>499</v>
      </c>
      <c r="C113" s="26" t="s">
        <v>16</v>
      </c>
      <c r="D113" s="26" t="s">
        <v>71</v>
      </c>
      <c r="E113" s="27" t="s">
        <v>94</v>
      </c>
      <c r="F113" s="27" t="s">
        <v>13</v>
      </c>
      <c r="G113" s="28" t="n">
        <v>30000</v>
      </c>
      <c r="H113" s="27" t="s">
        <v>77</v>
      </c>
      <c r="I113" s="29" t="n">
        <f aca="false">G113*INDEX(Settings!$B$6:$B$8,MATCH(H113,Settings!$A$6:$A$8,0))</f>
        <v>30000</v>
      </c>
      <c r="J113" s="30" t="n">
        <f aca="false">INDEX(Settings!$C$11:$C$16,MATCH(F113,Settings!$A$11:$A$16,0))</f>
        <v>0.45</v>
      </c>
      <c r="K113" s="29" t="n">
        <f aca="false">I113*J113</f>
        <v>13500</v>
      </c>
      <c r="L113" s="31" t="n">
        <v>46356</v>
      </c>
      <c r="M113" s="32" t="n">
        <f aca="false">Settings!$B$3-DATE(2026,7,28)</f>
        <v>51</v>
      </c>
      <c r="N113" s="31" t="n">
        <v>46148</v>
      </c>
      <c r="O113" s="26" t="s">
        <v>500</v>
      </c>
      <c r="P113" s="26" t="s">
        <v>42</v>
      </c>
      <c r="Q113" s="26" t="s">
        <v>501</v>
      </c>
      <c r="R113" s="33" t="s">
        <v>502</v>
      </c>
    </row>
    <row r="114" customFormat="false" ht="15" hidden="false" customHeight="false" outlineLevel="0" collapsed="false">
      <c r="A114" s="25" t="s">
        <v>503</v>
      </c>
      <c r="B114" s="26" t="s">
        <v>503</v>
      </c>
      <c r="C114" s="26" t="s">
        <v>16</v>
      </c>
      <c r="D114" s="26" t="s">
        <v>71</v>
      </c>
      <c r="E114" s="27" t="s">
        <v>94</v>
      </c>
      <c r="F114" s="27" t="s">
        <v>13</v>
      </c>
      <c r="G114" s="28" t="n">
        <v>30000</v>
      </c>
      <c r="H114" s="27" t="s">
        <v>77</v>
      </c>
      <c r="I114" s="29" t="n">
        <f aca="false">G114*INDEX(Settings!$B$6:$B$8,MATCH(H114,Settings!$A$6:$A$8,0))</f>
        <v>30000</v>
      </c>
      <c r="J114" s="30" t="n">
        <f aca="false">INDEX(Settings!$C$11:$C$16,MATCH(F114,Settings!$A$11:$A$16,0))</f>
        <v>0.45</v>
      </c>
      <c r="K114" s="29" t="n">
        <f aca="false">I114*J114</f>
        <v>13500</v>
      </c>
      <c r="L114" s="31" t="n">
        <v>46326</v>
      </c>
      <c r="M114" s="32" t="n">
        <f aca="false">Settings!$B$3-DATE(2026,7,31)</f>
        <v>48</v>
      </c>
      <c r="N114" s="31" t="n">
        <v>46148</v>
      </c>
      <c r="O114" s="26" t="s">
        <v>504</v>
      </c>
      <c r="P114" s="26" t="s">
        <v>28</v>
      </c>
      <c r="Q114" s="26" t="s">
        <v>320</v>
      </c>
      <c r="R114" s="33" t="s">
        <v>505</v>
      </c>
    </row>
    <row r="115" customFormat="false" ht="15" hidden="false" customHeight="false" outlineLevel="0" collapsed="false">
      <c r="A115" s="25" t="s">
        <v>506</v>
      </c>
      <c r="B115" s="26" t="s">
        <v>507</v>
      </c>
      <c r="C115" s="26" t="s">
        <v>18</v>
      </c>
      <c r="D115" s="26" t="s">
        <v>37</v>
      </c>
      <c r="E115" s="27" t="s">
        <v>59</v>
      </c>
      <c r="F115" s="27" t="s">
        <v>13</v>
      </c>
      <c r="G115" s="28" t="n">
        <v>40000</v>
      </c>
      <c r="H115" s="27" t="s">
        <v>60</v>
      </c>
      <c r="I115" s="29" t="n">
        <f aca="false">G115*INDEX(Settings!$B$6:$B$8,MATCH(H115,Settings!$A$6:$A$8,0))</f>
        <v>29600</v>
      </c>
      <c r="J115" s="30" t="n">
        <f aca="false">INDEX(Settings!$C$11:$C$16,MATCH(F115,Settings!$A$11:$A$16,0))</f>
        <v>0.45</v>
      </c>
      <c r="K115" s="29" t="n">
        <f aca="false">I115*J115</f>
        <v>13320</v>
      </c>
      <c r="L115" s="31" t="n">
        <v>46295</v>
      </c>
      <c r="M115" s="32" t="n">
        <f aca="false">Settings!$B$3-DATE(2026,7,20)</f>
        <v>59</v>
      </c>
      <c r="N115" s="31" t="n">
        <v>46223</v>
      </c>
      <c r="O115" s="26" t="s">
        <v>508</v>
      </c>
      <c r="P115" s="26" t="s">
        <v>40</v>
      </c>
      <c r="Q115" s="26" t="s">
        <v>156</v>
      </c>
      <c r="R115" s="33" t="s">
        <v>509</v>
      </c>
    </row>
    <row r="116" customFormat="false" ht="15" hidden="false" customHeight="false" outlineLevel="0" collapsed="false">
      <c r="A116" s="25" t="s">
        <v>510</v>
      </c>
      <c r="B116" s="26" t="s">
        <v>510</v>
      </c>
      <c r="C116" s="26" t="s">
        <v>16</v>
      </c>
      <c r="D116" s="26" t="s">
        <v>71</v>
      </c>
      <c r="E116" s="27" t="s">
        <v>94</v>
      </c>
      <c r="F116" s="27" t="s">
        <v>13</v>
      </c>
      <c r="G116" s="28" t="n">
        <v>30000</v>
      </c>
      <c r="H116" s="27" t="s">
        <v>60</v>
      </c>
      <c r="I116" s="29" t="n">
        <f aca="false">G116*INDEX(Settings!$B$6:$B$8,MATCH(H116,Settings!$A$6:$A$8,0))</f>
        <v>22200</v>
      </c>
      <c r="J116" s="30" t="n">
        <f aca="false">INDEX(Settings!$C$11:$C$16,MATCH(F116,Settings!$A$11:$A$16,0))</f>
        <v>0.45</v>
      </c>
      <c r="K116" s="29" t="n">
        <f aca="false">I116*J116</f>
        <v>9990</v>
      </c>
      <c r="L116" s="31" t="n">
        <v>46356</v>
      </c>
      <c r="M116" s="32" t="n">
        <f aca="false">Settings!$B$3-DATE(2026,6,25)</f>
        <v>84</v>
      </c>
      <c r="N116" s="31" t="n">
        <v>46105</v>
      </c>
      <c r="O116" s="26" t="s">
        <v>511</v>
      </c>
      <c r="P116" s="26" t="s">
        <v>41</v>
      </c>
      <c r="Q116" s="26" t="s">
        <v>512</v>
      </c>
      <c r="R116" s="33" t="s">
        <v>513</v>
      </c>
    </row>
    <row r="117" customFormat="false" ht="15" hidden="false" customHeight="false" outlineLevel="0" collapsed="false">
      <c r="A117" s="25" t="s">
        <v>514</v>
      </c>
      <c r="B117" s="26" t="s">
        <v>515</v>
      </c>
      <c r="C117" s="26" t="s">
        <v>16</v>
      </c>
      <c r="D117" s="26" t="s">
        <v>33</v>
      </c>
      <c r="E117" s="27" t="s">
        <v>59</v>
      </c>
      <c r="F117" s="27" t="s">
        <v>13</v>
      </c>
      <c r="G117" s="28" t="n">
        <v>30000</v>
      </c>
      <c r="H117" s="27" t="s">
        <v>60</v>
      </c>
      <c r="I117" s="29" t="n">
        <f aca="false">G117*INDEX(Settings!$B$6:$B$8,MATCH(H117,Settings!$A$6:$A$8,0))</f>
        <v>22200</v>
      </c>
      <c r="J117" s="30" t="n">
        <f aca="false">INDEX(Settings!$C$11:$C$16,MATCH(F117,Settings!$A$11:$A$16,0))</f>
        <v>0.45</v>
      </c>
      <c r="K117" s="29" t="n">
        <f aca="false">I117*J117</f>
        <v>9990</v>
      </c>
      <c r="L117" s="31"/>
      <c r="M117" s="32" t="n">
        <f aca="false">Settings!$B$3-DATE(2026,9,2)</f>
        <v>15</v>
      </c>
      <c r="N117" s="31" t="n">
        <v>46267</v>
      </c>
      <c r="O117" s="26" t="s">
        <v>516</v>
      </c>
      <c r="P117" s="26" t="s">
        <v>28</v>
      </c>
      <c r="Q117" s="26" t="s">
        <v>517</v>
      </c>
      <c r="R117" s="33" t="s">
        <v>518</v>
      </c>
    </row>
    <row r="118" customFormat="false" ht="15" hidden="false" customHeight="false" outlineLevel="0" collapsed="false">
      <c r="A118" s="25" t="s">
        <v>519</v>
      </c>
      <c r="B118" s="26" t="s">
        <v>520</v>
      </c>
      <c r="C118" s="26" t="s">
        <v>16</v>
      </c>
      <c r="D118" s="26" t="s">
        <v>71</v>
      </c>
      <c r="E118" s="27" t="s">
        <v>94</v>
      </c>
      <c r="F118" s="27" t="s">
        <v>13</v>
      </c>
      <c r="G118" s="28" t="n">
        <v>20000</v>
      </c>
      <c r="H118" s="27" t="s">
        <v>77</v>
      </c>
      <c r="I118" s="29" t="n">
        <f aca="false">G118*INDEX(Settings!$B$6:$B$8,MATCH(H118,Settings!$A$6:$A$8,0))</f>
        <v>20000</v>
      </c>
      <c r="J118" s="30" t="n">
        <f aca="false">INDEX(Settings!$C$11:$C$16,MATCH(F118,Settings!$A$11:$A$16,0))</f>
        <v>0.45</v>
      </c>
      <c r="K118" s="29" t="n">
        <f aca="false">I118*J118</f>
        <v>9000</v>
      </c>
      <c r="L118" s="31" t="n">
        <v>46356</v>
      </c>
      <c r="M118" s="32" t="n">
        <f aca="false">Settings!$B$3-DATE(2026,7,28)</f>
        <v>51</v>
      </c>
      <c r="N118" s="31" t="n">
        <v>46202</v>
      </c>
      <c r="O118" s="26" t="s">
        <v>521</v>
      </c>
      <c r="P118" s="26" t="s">
        <v>28</v>
      </c>
      <c r="Q118" s="26" t="s">
        <v>235</v>
      </c>
      <c r="R118" s="33" t="s">
        <v>522</v>
      </c>
    </row>
    <row r="119" customFormat="false" ht="15" hidden="false" customHeight="false" outlineLevel="0" collapsed="false">
      <c r="A119" s="25" t="s">
        <v>523</v>
      </c>
      <c r="B119" s="26" t="s">
        <v>524</v>
      </c>
      <c r="C119" s="26" t="s">
        <v>18</v>
      </c>
      <c r="D119" s="26" t="s">
        <v>71</v>
      </c>
      <c r="E119" s="27" t="s">
        <v>59</v>
      </c>
      <c r="F119" s="27" t="s">
        <v>13</v>
      </c>
      <c r="G119" s="28" t="n">
        <v>25000</v>
      </c>
      <c r="H119" s="27" t="s">
        <v>60</v>
      </c>
      <c r="I119" s="29" t="n">
        <f aca="false">G119*INDEX(Settings!$B$6:$B$8,MATCH(H119,Settings!$A$6:$A$8,0))</f>
        <v>18500</v>
      </c>
      <c r="J119" s="30" t="n">
        <f aca="false">INDEX(Settings!$C$11:$C$16,MATCH(F119,Settings!$A$11:$A$16,0))</f>
        <v>0.45</v>
      </c>
      <c r="K119" s="29" t="n">
        <f aca="false">I119*J119</f>
        <v>8325</v>
      </c>
      <c r="L119" s="31" t="n">
        <v>46295</v>
      </c>
      <c r="M119" s="32" t="n">
        <f aca="false">Settings!$B$3-DATE(2026,7,3)</f>
        <v>76</v>
      </c>
      <c r="N119" s="31" t="n">
        <v>46100</v>
      </c>
      <c r="O119" s="26" t="s">
        <v>525</v>
      </c>
      <c r="P119" s="26" t="s">
        <v>30</v>
      </c>
      <c r="Q119" s="26" t="s">
        <v>526</v>
      </c>
      <c r="R119" s="33" t="s">
        <v>527</v>
      </c>
    </row>
    <row r="120" customFormat="false" ht="15" hidden="false" customHeight="false" outlineLevel="0" collapsed="false">
      <c r="A120" s="25" t="s">
        <v>101</v>
      </c>
      <c r="B120" s="26" t="s">
        <v>528</v>
      </c>
      <c r="C120" s="26" t="s">
        <v>14</v>
      </c>
      <c r="D120" s="26" t="s">
        <v>27</v>
      </c>
      <c r="E120" s="27" t="s">
        <v>59</v>
      </c>
      <c r="F120" s="27" t="s">
        <v>13</v>
      </c>
      <c r="G120" s="28" t="n">
        <v>25000</v>
      </c>
      <c r="H120" s="27" t="s">
        <v>60</v>
      </c>
      <c r="I120" s="29" t="n">
        <f aca="false">G120*INDEX(Settings!$B$6:$B$8,MATCH(H120,Settings!$A$6:$A$8,0))</f>
        <v>18500</v>
      </c>
      <c r="J120" s="30" t="n">
        <f aca="false">INDEX(Settings!$C$11:$C$16,MATCH(F120,Settings!$A$11:$A$16,0))</f>
        <v>0.45</v>
      </c>
      <c r="K120" s="29" t="n">
        <f aca="false">I120*J120</f>
        <v>8325</v>
      </c>
      <c r="L120" s="31" t="n">
        <v>46356</v>
      </c>
      <c r="M120" s="32" t="n">
        <f aca="false">Settings!$B$3-DATE(2026,8,18)</f>
        <v>30</v>
      </c>
      <c r="N120" s="31" t="n">
        <v>46252</v>
      </c>
      <c r="O120" s="26" t="s">
        <v>103</v>
      </c>
      <c r="P120" s="26" t="s">
        <v>28</v>
      </c>
      <c r="Q120" s="26" t="s">
        <v>73</v>
      </c>
      <c r="R120" s="33" t="s">
        <v>104</v>
      </c>
    </row>
    <row r="121" customFormat="false" ht="15" hidden="false" customHeight="false" outlineLevel="0" collapsed="false">
      <c r="A121" s="25" t="s">
        <v>101</v>
      </c>
      <c r="B121" s="26" t="s">
        <v>529</v>
      </c>
      <c r="C121" s="26" t="s">
        <v>14</v>
      </c>
      <c r="D121" s="26" t="s">
        <v>27</v>
      </c>
      <c r="E121" s="27" t="s">
        <v>59</v>
      </c>
      <c r="F121" s="27" t="s">
        <v>13</v>
      </c>
      <c r="G121" s="28" t="n">
        <v>25000</v>
      </c>
      <c r="H121" s="27" t="s">
        <v>60</v>
      </c>
      <c r="I121" s="29" t="n">
        <f aca="false">G121*INDEX(Settings!$B$6:$B$8,MATCH(H121,Settings!$A$6:$A$8,0))</f>
        <v>18500</v>
      </c>
      <c r="J121" s="30" t="n">
        <f aca="false">INDEX(Settings!$C$11:$C$16,MATCH(F121,Settings!$A$11:$A$16,0))</f>
        <v>0.45</v>
      </c>
      <c r="K121" s="29" t="n">
        <f aca="false">I121*J121</f>
        <v>8325</v>
      </c>
      <c r="L121" s="31" t="n">
        <v>46371</v>
      </c>
      <c r="M121" s="32" t="n">
        <f aca="false">Settings!$B$3-DATE(2026,8,18)</f>
        <v>30</v>
      </c>
      <c r="N121" s="31" t="n">
        <v>46252</v>
      </c>
      <c r="O121" s="26" t="s">
        <v>103</v>
      </c>
      <c r="P121" s="26" t="s">
        <v>28</v>
      </c>
      <c r="Q121" s="26" t="s">
        <v>73</v>
      </c>
      <c r="R121" s="33" t="s">
        <v>104</v>
      </c>
    </row>
    <row r="122" customFormat="false" ht="15" hidden="false" customHeight="false" outlineLevel="0" collapsed="false">
      <c r="A122" s="25" t="s">
        <v>530</v>
      </c>
      <c r="B122" s="26" t="s">
        <v>531</v>
      </c>
      <c r="C122" s="26" t="s">
        <v>16</v>
      </c>
      <c r="D122" s="26" t="s">
        <v>33</v>
      </c>
      <c r="E122" s="27" t="s">
        <v>59</v>
      </c>
      <c r="F122" s="27" t="s">
        <v>13</v>
      </c>
      <c r="G122" s="28" t="n">
        <v>20000</v>
      </c>
      <c r="H122" s="27" t="s">
        <v>84</v>
      </c>
      <c r="I122" s="29" t="n">
        <f aca="false">G122*INDEX(Settings!$B$6:$B$8,MATCH(H122,Settings!$A$6:$A$8,0))</f>
        <v>17000</v>
      </c>
      <c r="J122" s="30" t="n">
        <f aca="false">INDEX(Settings!$C$11:$C$16,MATCH(F122,Settings!$A$11:$A$16,0))</f>
        <v>0.45</v>
      </c>
      <c r="K122" s="29" t="n">
        <f aca="false">I122*J122</f>
        <v>7650</v>
      </c>
      <c r="L122" s="31" t="n">
        <v>46325</v>
      </c>
      <c r="M122" s="32" t="n">
        <f aca="false">Settings!$B$3-DATE(2026,2,19)</f>
        <v>210</v>
      </c>
      <c r="N122" s="31" t="n">
        <v>46048</v>
      </c>
      <c r="O122" s="26" t="s">
        <v>532</v>
      </c>
      <c r="P122" s="26" t="s">
        <v>28</v>
      </c>
      <c r="Q122" s="26" t="s">
        <v>320</v>
      </c>
      <c r="R122" s="33" t="s">
        <v>453</v>
      </c>
    </row>
    <row r="123" customFormat="false" ht="15" hidden="false" customHeight="false" outlineLevel="0" collapsed="false">
      <c r="A123" s="25" t="s">
        <v>533</v>
      </c>
      <c r="B123" s="26" t="s">
        <v>534</v>
      </c>
      <c r="C123" s="26" t="s">
        <v>18</v>
      </c>
      <c r="D123" s="26" t="s">
        <v>71</v>
      </c>
      <c r="E123" s="27" t="s">
        <v>94</v>
      </c>
      <c r="F123" s="27" t="s">
        <v>13</v>
      </c>
      <c r="G123" s="28" t="n">
        <v>20000</v>
      </c>
      <c r="H123" s="27" t="s">
        <v>60</v>
      </c>
      <c r="I123" s="29" t="n">
        <f aca="false">G123*INDEX(Settings!$B$6:$B$8,MATCH(H123,Settings!$A$6:$A$8,0))</f>
        <v>14800</v>
      </c>
      <c r="J123" s="30" t="n">
        <f aca="false">INDEX(Settings!$C$11:$C$16,MATCH(F123,Settings!$A$11:$A$16,0))</f>
        <v>0.45</v>
      </c>
      <c r="K123" s="29" t="n">
        <f aca="false">I123*J123</f>
        <v>6660</v>
      </c>
      <c r="L123" s="31" t="n">
        <v>46326</v>
      </c>
      <c r="M123" s="32" t="n">
        <f aca="false">Settings!$B$3-DATE(2026,7,27)</f>
        <v>52</v>
      </c>
      <c r="N123" s="31" t="n">
        <v>46122</v>
      </c>
      <c r="O123" s="26" t="s">
        <v>535</v>
      </c>
      <c r="P123" s="26" t="s">
        <v>42</v>
      </c>
      <c r="Q123" s="26" t="s">
        <v>536</v>
      </c>
      <c r="R123" s="33" t="s">
        <v>537</v>
      </c>
    </row>
    <row r="124" customFormat="false" ht="15" hidden="false" customHeight="false" outlineLevel="0" collapsed="false">
      <c r="A124" s="25" t="s">
        <v>538</v>
      </c>
      <c r="B124" s="26" t="s">
        <v>539</v>
      </c>
      <c r="C124" s="26" t="s">
        <v>18</v>
      </c>
      <c r="D124" s="26" t="s">
        <v>71</v>
      </c>
      <c r="E124" s="27" t="s">
        <v>94</v>
      </c>
      <c r="F124" s="27" t="s">
        <v>13</v>
      </c>
      <c r="G124" s="28" t="n">
        <v>20000</v>
      </c>
      <c r="H124" s="27" t="s">
        <v>60</v>
      </c>
      <c r="I124" s="29" t="n">
        <f aca="false">G124*INDEX(Settings!$B$6:$B$8,MATCH(H124,Settings!$A$6:$A$8,0))</f>
        <v>14800</v>
      </c>
      <c r="J124" s="30" t="n">
        <f aca="false">INDEX(Settings!$C$11:$C$16,MATCH(F124,Settings!$A$11:$A$16,0))</f>
        <v>0.45</v>
      </c>
      <c r="K124" s="29" t="n">
        <f aca="false">I124*J124</f>
        <v>6660</v>
      </c>
      <c r="L124" s="31" t="n">
        <v>46325</v>
      </c>
      <c r="M124" s="32" t="n">
        <f aca="false">Settings!$B$3-DATE(2026,8,11)</f>
        <v>37</v>
      </c>
      <c r="N124" s="31" t="n">
        <v>46154</v>
      </c>
      <c r="O124" s="26" t="s">
        <v>540</v>
      </c>
      <c r="P124" s="26" t="s">
        <v>30</v>
      </c>
      <c r="Q124" s="26" t="s">
        <v>240</v>
      </c>
      <c r="R124" s="33" t="s">
        <v>541</v>
      </c>
    </row>
    <row r="125" customFormat="false" ht="15" hidden="false" customHeight="false" outlineLevel="0" collapsed="false">
      <c r="A125" s="25" t="s">
        <v>542</v>
      </c>
      <c r="B125" s="26" t="s">
        <v>543</v>
      </c>
      <c r="C125" s="26" t="s">
        <v>16</v>
      </c>
      <c r="D125" s="26" t="s">
        <v>35</v>
      </c>
      <c r="E125" s="27" t="s">
        <v>59</v>
      </c>
      <c r="F125" s="27" t="s">
        <v>13</v>
      </c>
      <c r="G125" s="28" t="n">
        <v>15000</v>
      </c>
      <c r="H125" s="27" t="s">
        <v>84</v>
      </c>
      <c r="I125" s="29" t="n">
        <f aca="false">G125*INDEX(Settings!$B$6:$B$8,MATCH(H125,Settings!$A$6:$A$8,0))</f>
        <v>12750</v>
      </c>
      <c r="J125" s="30" t="n">
        <f aca="false">INDEX(Settings!$C$11:$C$16,MATCH(F125,Settings!$A$11:$A$16,0))</f>
        <v>0.45</v>
      </c>
      <c r="K125" s="29" t="n">
        <f aca="false">I125*J125</f>
        <v>5737.5</v>
      </c>
      <c r="L125" s="31" t="n">
        <v>46388</v>
      </c>
      <c r="M125" s="32" t="n">
        <f aca="false">Settings!$B$3-DATE(2026,6,10)</f>
        <v>99</v>
      </c>
      <c r="N125" s="31" t="n">
        <v>46072</v>
      </c>
      <c r="O125" s="26" t="s">
        <v>544</v>
      </c>
      <c r="P125" s="26" t="s">
        <v>28</v>
      </c>
      <c r="Q125" s="26" t="s">
        <v>320</v>
      </c>
      <c r="R125" s="33" t="s">
        <v>545</v>
      </c>
    </row>
    <row r="126" customFormat="false" ht="15" hidden="false" customHeight="false" outlineLevel="0" collapsed="false">
      <c r="A126" s="25" t="s">
        <v>546</v>
      </c>
      <c r="B126" s="26" t="s">
        <v>547</v>
      </c>
      <c r="C126" s="26" t="s">
        <v>14</v>
      </c>
      <c r="D126" s="26" t="s">
        <v>71</v>
      </c>
      <c r="E126" s="27" t="s">
        <v>59</v>
      </c>
      <c r="F126" s="27" t="s">
        <v>13</v>
      </c>
      <c r="G126" s="28" t="n">
        <v>15000</v>
      </c>
      <c r="H126" s="27" t="s">
        <v>60</v>
      </c>
      <c r="I126" s="29" t="n">
        <f aca="false">G126*INDEX(Settings!$B$6:$B$8,MATCH(H126,Settings!$A$6:$A$8,0))</f>
        <v>11100</v>
      </c>
      <c r="J126" s="30" t="n">
        <f aca="false">INDEX(Settings!$C$11:$C$16,MATCH(F126,Settings!$A$11:$A$16,0))</f>
        <v>0.45</v>
      </c>
      <c r="K126" s="29" t="n">
        <f aca="false">I126*J126</f>
        <v>4995</v>
      </c>
      <c r="L126" s="31" t="n">
        <v>46353</v>
      </c>
      <c r="M126" s="32" t="n">
        <f aca="false">Settings!$B$3-DATE(2026,8,18)</f>
        <v>30</v>
      </c>
      <c r="N126" s="31" t="n">
        <v>46252</v>
      </c>
      <c r="O126" s="26" t="s">
        <v>548</v>
      </c>
      <c r="P126" s="26" t="s">
        <v>30</v>
      </c>
      <c r="Q126" s="26" t="s">
        <v>377</v>
      </c>
      <c r="R126" s="33" t="s">
        <v>549</v>
      </c>
    </row>
    <row r="127" customFormat="false" ht="15" hidden="false" customHeight="false" outlineLevel="0" collapsed="false">
      <c r="A127" s="25" t="s">
        <v>550</v>
      </c>
      <c r="B127" s="26" t="s">
        <v>550</v>
      </c>
      <c r="C127" s="26" t="s">
        <v>16</v>
      </c>
      <c r="D127" s="26" t="s">
        <v>71</v>
      </c>
      <c r="E127" s="27" t="s">
        <v>59</v>
      </c>
      <c r="F127" s="27" t="s">
        <v>13</v>
      </c>
      <c r="G127" s="28" t="n">
        <v>10000</v>
      </c>
      <c r="H127" s="27" t="s">
        <v>60</v>
      </c>
      <c r="I127" s="29" t="n">
        <f aca="false">G127*INDEX(Settings!$B$6:$B$8,MATCH(H127,Settings!$A$6:$A$8,0))</f>
        <v>7400</v>
      </c>
      <c r="J127" s="30" t="n">
        <f aca="false">INDEX(Settings!$C$11:$C$16,MATCH(F127,Settings!$A$11:$A$16,0))</f>
        <v>0.45</v>
      </c>
      <c r="K127" s="29" t="n">
        <f aca="false">I127*J127</f>
        <v>3330</v>
      </c>
      <c r="L127" s="31"/>
      <c r="M127" s="32" t="n">
        <f aca="false">Settings!$B$3-DATE(2026,3,12)</f>
        <v>189</v>
      </c>
      <c r="N127" s="31" t="n">
        <v>46093</v>
      </c>
      <c r="O127" s="26" t="s">
        <v>551</v>
      </c>
      <c r="P127" s="26" t="s">
        <v>30</v>
      </c>
      <c r="Q127" s="26" t="s">
        <v>377</v>
      </c>
      <c r="R127" s="33" t="s">
        <v>552</v>
      </c>
    </row>
    <row r="128" customFormat="false" ht="15" hidden="false" customHeight="false" outlineLevel="0" collapsed="false">
      <c r="A128" s="25" t="s">
        <v>553</v>
      </c>
      <c r="B128" s="26" t="s">
        <v>554</v>
      </c>
      <c r="C128" s="26" t="s">
        <v>16</v>
      </c>
      <c r="D128" s="26" t="s">
        <v>33</v>
      </c>
      <c r="E128" s="27" t="s">
        <v>59</v>
      </c>
      <c r="F128" s="27" t="s">
        <v>13</v>
      </c>
      <c r="G128" s="28" t="n">
        <v>10000</v>
      </c>
      <c r="H128" s="27" t="s">
        <v>60</v>
      </c>
      <c r="I128" s="29" t="n">
        <f aca="false">G128*INDEX(Settings!$B$6:$B$8,MATCH(H128,Settings!$A$6:$A$8,0))</f>
        <v>7400</v>
      </c>
      <c r="J128" s="30" t="n">
        <f aca="false">INDEX(Settings!$C$11:$C$16,MATCH(F128,Settings!$A$11:$A$16,0))</f>
        <v>0.45</v>
      </c>
      <c r="K128" s="29" t="n">
        <f aca="false">I128*J128</f>
        <v>3330</v>
      </c>
      <c r="L128" s="31"/>
      <c r="M128" s="32" t="n">
        <f aca="false">Settings!$B$3-DATE(2026,9,7)</f>
        <v>10</v>
      </c>
      <c r="N128" s="31" t="n">
        <v>46272</v>
      </c>
      <c r="O128" s="26" t="s">
        <v>338</v>
      </c>
      <c r="P128" s="26" t="s">
        <v>39</v>
      </c>
      <c r="Q128" s="26" t="s">
        <v>339</v>
      </c>
      <c r="R128" s="33" t="s">
        <v>555</v>
      </c>
    </row>
    <row r="129" customFormat="false" ht="15" hidden="false" customHeight="false" outlineLevel="0" collapsed="false">
      <c r="A129" s="25" t="s">
        <v>96</v>
      </c>
      <c r="B129" s="26" t="s">
        <v>556</v>
      </c>
      <c r="C129" s="26" t="s">
        <v>16</v>
      </c>
      <c r="D129" s="26" t="s">
        <v>31</v>
      </c>
      <c r="E129" s="27" t="s">
        <v>59</v>
      </c>
      <c r="F129" s="27" t="s">
        <v>13</v>
      </c>
      <c r="G129" s="28" t="n">
        <v>50</v>
      </c>
      <c r="H129" s="27" t="s">
        <v>60</v>
      </c>
      <c r="I129" s="29" t="n">
        <f aca="false">G129*INDEX(Settings!$B$6:$B$8,MATCH(H129,Settings!$A$6:$A$8,0))</f>
        <v>37</v>
      </c>
      <c r="J129" s="30" t="n">
        <f aca="false">INDEX(Settings!$C$11:$C$16,MATCH(F129,Settings!$A$11:$A$16,0))</f>
        <v>0.45</v>
      </c>
      <c r="K129" s="29" t="n">
        <f aca="false">I129*J129</f>
        <v>16.65</v>
      </c>
      <c r="L129" s="31" t="n">
        <v>46274</v>
      </c>
      <c r="M129" s="32" t="n">
        <f aca="false">Settings!$B$3-DATE(2026,9,1)</f>
        <v>16</v>
      </c>
      <c r="N129" s="31" t="n">
        <v>46266</v>
      </c>
      <c r="O129" s="26" t="s">
        <v>98</v>
      </c>
      <c r="P129" s="26" t="s">
        <v>32</v>
      </c>
      <c r="Q129" s="26" t="s">
        <v>99</v>
      </c>
      <c r="R129" s="33" t="s">
        <v>100</v>
      </c>
    </row>
    <row r="130" customFormat="false" ht="15" hidden="false" customHeight="false" outlineLevel="0" collapsed="false">
      <c r="A130" s="25" t="s">
        <v>557</v>
      </c>
      <c r="B130" s="26" t="s">
        <v>558</v>
      </c>
      <c r="C130" s="26" t="s">
        <v>14</v>
      </c>
      <c r="D130" s="26" t="s">
        <v>71</v>
      </c>
      <c r="E130" s="27" t="s">
        <v>94</v>
      </c>
      <c r="F130" s="27" t="s">
        <v>13</v>
      </c>
      <c r="G130" s="28" t="n">
        <v>0</v>
      </c>
      <c r="H130" s="27" t="s">
        <v>84</v>
      </c>
      <c r="I130" s="29" t="n">
        <f aca="false">G130*INDEX(Settings!$B$6:$B$8,MATCH(H130,Settings!$A$6:$A$8,0))</f>
        <v>0</v>
      </c>
      <c r="J130" s="30" t="n">
        <f aca="false">INDEX(Settings!$C$11:$C$16,MATCH(F130,Settings!$A$11:$A$16,0))</f>
        <v>0.45</v>
      </c>
      <c r="K130" s="29" t="n">
        <f aca="false">I130*J130</f>
        <v>0</v>
      </c>
      <c r="L130" s="31" t="n">
        <v>46356</v>
      </c>
      <c r="M130" s="32" t="n">
        <f aca="false">Settings!$B$3-DATE(2026,9,15)</f>
        <v>2</v>
      </c>
      <c r="N130" s="31" t="n">
        <v>46280</v>
      </c>
      <c r="O130" s="26" t="s">
        <v>559</v>
      </c>
      <c r="P130" s="26" t="s">
        <v>28</v>
      </c>
      <c r="Q130" s="26" t="s">
        <v>320</v>
      </c>
      <c r="R130" s="33" t="s">
        <v>560</v>
      </c>
    </row>
  </sheetData>
  <autoFilter ref="A1:R130"/>
  <conditionalFormatting sqref="F2:F130">
    <cfRule type="expression" priority="2" aboveAverage="0" equalAverage="0" bottom="0" percent="0" rank="0" text="" dxfId="11">
      <formula>$F2="Understand Need/Problem"</formula>
    </cfRule>
    <cfRule type="expression" priority="3" aboveAverage="0" equalAverage="0" bottom="0" percent="0" rank="0" text="" dxfId="12">
      <formula>$F2="Create Proposal"</formula>
    </cfRule>
    <cfRule type="expression" priority="4" aboveAverage="0" equalAverage="0" bottom="0" percent="0" rank="0" text="" dxfId="13">
      <formula>$F2="Present Proposal"</formula>
    </cfRule>
    <cfRule type="expression" priority="5" aboveAverage="0" equalAverage="0" bottom="0" percent="0" rank="0" text="" dxfId="14">
      <formula>$F2="Feedback"</formula>
    </cfRule>
    <cfRule type="expression" priority="6" aboveAverage="0" equalAverage="0" bottom="0" percent="0" rank="0" text="" dxfId="15">
      <formula>$F2="Negotiation"</formula>
    </cfRule>
    <cfRule type="expression" priority="7" aboveAverage="0" equalAverage="0" bottom="0" percent="0" rank="0" text="" dxfId="16">
      <formula>$F2="IO Sent Out"</formula>
    </cfRule>
  </conditionalFormatting>
  <conditionalFormatting sqref="E2:E130">
    <cfRule type="expression" priority="8" aboveAverage="0" equalAverage="0" bottom="0" percent="0" rank="0" text="" dxfId="17">
      <formula>$E2="New business"</formula>
    </cfRule>
    <cfRule type="expression" priority="9" aboveAverage="0" equalAverage="0" bottom="0" percent="0" rank="0" text="" dxfId="18">
      <formula>$E2="Existing client"</formula>
    </cfRule>
  </conditionalFormatting>
  <conditionalFormatting sqref="K2:K130">
    <cfRule type="dataBar" priority="10">
      <dataBar showValue="1" minLength="10" maxLength="90">
        <cfvo type="num" val="0"/>
        <cfvo type="max" val="0"/>
        <color rgb="FFEE4392"/>
      </dataBar>
      <extLst>
        <ext xmlns:x14="http://schemas.microsoft.com/office/spreadsheetml/2009/9/main" uri="{B025F937-C7B1-47D3-B67F-A62EFF666E3E}">
          <x14:id>{E080211F-D44D-4D4C-A8B9-1E42DA17FC80}</x14:id>
        </ext>
      </extLst>
    </cfRule>
  </conditionalFormatting>
  <conditionalFormatting sqref="M2:M130">
    <cfRule type="expression" priority="11" aboveAverage="0" equalAverage="0" bottom="0" percent="0" rank="0" text="" dxfId="19">
      <formula>$M2&gt;30</formula>
    </cfRule>
  </conditionalFormatting>
  <conditionalFormatting sqref="C2:C130">
    <cfRule type="expression" priority="12" aboveAverage="0" equalAverage="0" bottom="0" percent="0" rank="0" text="" dxfId="19">
      <formula>$C2="Unassigned"</formula>
    </cfRule>
  </conditionalFormatting>
  <hyperlinks>
    <hyperlink ref="R2" r:id="rId1" display="runwayml.com"/>
    <hyperlink ref="R3" r:id="rId2" display="oreateai.com"/>
    <hyperlink ref="R4" r:id="rId3" display="milip.kr"/>
    <hyperlink ref="R5" r:id="rId4" display="comfortclick.co.uk"/>
    <hyperlink ref="R6" r:id="rId5" display="oreateai.com"/>
    <hyperlink ref="R7" r:id="rId6" display="groupeseb.com"/>
    <hyperlink ref="R8" r:id="rId7" display="mediheal.com"/>
    <hyperlink ref="R10" r:id="rId8" display="avatrade.com"/>
    <hyperlink ref="R11" r:id="rId9" display="amorepacific.com"/>
    <hyperlink ref="R12" r:id="rId10" display="sparkli.ai"/>
    <hyperlink ref="R13" r:id="rId11" display="tfit.co.kr"/>
    <hyperlink ref="R14" r:id="rId12" display="zonevoice.com"/>
    <hyperlink ref="R15" r:id="rId13" display="sparkli.ai"/>
    <hyperlink ref="R16" r:id="rId14" display="samchic.co.kr"/>
    <hyperlink ref="R17" r:id="rId15" display="beautyofjoseon.com"/>
    <hyperlink ref="R18" r:id="rId16" display="comfortclick.co.uk"/>
    <hyperlink ref="R19" r:id="rId17" display="team-sport.com"/>
    <hyperlink ref="R20" r:id="rId18" display="finom.co"/>
    <hyperlink ref="R21" r:id="rId19" display="beautyofjoseon.com"/>
    <hyperlink ref="R23" r:id="rId20" display="iworldus.com"/>
    <hyperlink ref="R24" r:id="rId21" display="oreateai.com"/>
    <hyperlink ref="R25" r:id="rId22" display="vitrinclinic.com"/>
    <hyperlink ref="R26" r:id="rId23" display="vitrinclinic.com"/>
    <hyperlink ref="R27" r:id="rId24" display="firerock.sg"/>
    <hyperlink ref="R28" r:id="rId25" display="paddywax.com"/>
    <hyperlink ref="R29" r:id="rId26" display="astrotalk.com"/>
    <hyperlink ref="R30" r:id="rId27" display="bitelab.co.kr"/>
    <hyperlink ref="R31" r:id="rId28" display="myntro.com"/>
    <hyperlink ref="R32" r:id="rId29" display="bnckorea.co.kr"/>
    <hyperlink ref="R33" r:id="rId30" display="astrotalk.com"/>
    <hyperlink ref="R34" r:id="rId31" display="tfit.co.kr"/>
    <hyperlink ref="R35" r:id="rId32" display="beautyofjoseon.com"/>
    <hyperlink ref="R36" r:id="rId33" display="scrubdaddy.eu"/>
    <hyperlink ref="R37" r:id="rId34" display="webull-uk.com"/>
    <hyperlink ref="R38" r:id="rId35" display="beautyofjoseon.com"/>
    <hyperlink ref="R39" r:id="rId36" display="ago.ca"/>
    <hyperlink ref="R40" r:id="rId37" display="dartscorner.co.uk"/>
    <hyperlink ref="R41" r:id="rId38" display="efginternational.com"/>
    <hyperlink ref="R42" r:id="rId39" display="kedrion.com"/>
    <hyperlink ref="R43" r:id="rId40" display="beautyofjoseon.com"/>
    <hyperlink ref="R44" r:id="rId41" display="beautyofjoseon.com"/>
    <hyperlink ref="R45" r:id="rId42" display="ramseysolutions.com"/>
    <hyperlink ref="R46" r:id="rId43" display="ollies.us"/>
    <hyperlink ref="R47" r:id="rId44" display="verizon.com"/>
    <hyperlink ref="R48" r:id="rId45" display="glolabz.com"/>
    <hyperlink ref="R49" r:id="rId46" display="merakitech.com"/>
    <hyperlink ref="R50" r:id="rId47" display="galderma.com"/>
    <hyperlink ref="R51" r:id="rId48" display="monogram.ai"/>
    <hyperlink ref="R52" r:id="rId49" display="nealsyardremedies.com"/>
    <hyperlink ref="R53" r:id="rId50" display="vioratest.com"/>
    <hyperlink ref="R54" r:id="rId51" display="studiomosaicapps.com"/>
    <hyperlink ref="R55" r:id="rId52" display="riviera-dazur.com"/>
    <hyperlink ref="R56" r:id="rId53" display="royalcanin.com"/>
    <hyperlink ref="R57" r:id="rId54" display="aldermore.co.uk"/>
    <hyperlink ref="R58" r:id="rId55" display="pacsen.net"/>
    <hyperlink ref="R59" r:id="rId56" display="cornbreadhemp.com"/>
    <hyperlink ref="R60" r:id="rId57" display="wednesdaywaffles.com"/>
    <hyperlink ref="R61" r:id="rId58" display="bcfc.com"/>
    <hyperlink ref="R62" r:id="rId59" display="finom.co"/>
    <hyperlink ref="R63" r:id="rId60" display="cosrx.com"/>
    <hyperlink ref="R64" r:id="rId61" display="isehan.co.jp"/>
    <hyperlink ref="R65" r:id="rId62" display="royalcanin.com"/>
    <hyperlink ref="R66" r:id="rId63" display="amorepacific.com"/>
    <hyperlink ref="R67" r:id="rId64" display="stellarisrobot.com"/>
    <hyperlink ref="R68" r:id="rId65" display="byoma.com"/>
    <hyperlink ref="R70" r:id="rId66" display="beautyofjoseon.com"/>
    <hyperlink ref="R71" r:id="rId67" display="skylum.com"/>
    <hyperlink ref="R72" r:id="rId68" display="opera.com"/>
    <hyperlink ref="R73" r:id="rId69" display="mbchicken.co.uk"/>
    <hyperlink ref="R74" r:id="rId70" display="i-ne.co.jp"/>
    <hyperlink ref="R75" r:id="rId71" display="whitecapsfc.com"/>
    <hyperlink ref="R76" r:id="rId72" display="expediagroup.com"/>
    <hyperlink ref="R77" r:id="rId73" display="kia.com"/>
    <hyperlink ref="R78" r:id="rId74" display="konufoods.com"/>
    <hyperlink ref="R79" r:id="rId75" display="macaly.com"/>
    <hyperlink ref="R80" r:id="rId76" display="damm.com"/>
    <hyperlink ref="R81" r:id="rId77" display="ashleymadison.com"/>
    <hyperlink ref="R82" r:id="rId78" display="curias.io"/>
    <hyperlink ref="R83" r:id="rId79" display="nnespana.es"/>
    <hyperlink ref="R84" r:id="rId80" display="kenvue.com"/>
    <hyperlink ref="R85" r:id="rId81" display="gopro.com"/>
    <hyperlink ref="R86" r:id="rId82" display="norwegianlog.co.uk"/>
    <hyperlink ref="R87" r:id="rId83" display="redweek.com"/>
    <hyperlink ref="R88" r:id="rId84" display="trip.com"/>
    <hyperlink ref="R89" r:id="rId85" display="kotra.or.kr"/>
    <hyperlink ref="R90" r:id="rId86" display="gsma.com"/>
    <hyperlink ref="R91" r:id="rId87" display="ashleymadison.com"/>
    <hyperlink ref="R92" r:id="rId88" display="grupobimbo.com"/>
    <hyperlink ref="R93" r:id="rId89" display="atlascapture.io"/>
    <hyperlink ref="R94" r:id="rId90" display="heytea.com"/>
    <hyperlink ref="R95" r:id="rId91" display="vinted.com"/>
    <hyperlink ref="R96" r:id="rId92" display="nva.com"/>
    <hyperlink ref="R97" r:id="rId93" display="hapimag.com"/>
    <hyperlink ref="R98" r:id="rId94" display="runwayml.com"/>
    <hyperlink ref="R99" r:id="rId95" display="olymptrade.com"/>
    <hyperlink ref="R100" r:id="rId96" display="beautyofjoseon.com"/>
    <hyperlink ref="R101" r:id="rId97" display="nn-group.com"/>
    <hyperlink ref="R102" r:id="rId98" display="davidlloyd.co.uk"/>
    <hyperlink ref="R103" r:id="rId99" display="chillsim.net"/>
    <hyperlink ref="R104" r:id="rId100" display="drjart.com"/>
    <hyperlink ref="R105" r:id="rId101" display="medtrition.com"/>
    <hyperlink ref="R106" r:id="rId102" display="finom.co"/>
    <hyperlink ref="R107" r:id="rId103" display="kioland.co.kr"/>
    <hyperlink ref="R108" r:id="rId104" display="bitelab.co.kr"/>
    <hyperlink ref="R109" r:id="rId105" display="thepicton.com"/>
    <hyperlink ref="R110" r:id="rId106" display="opera.com"/>
    <hyperlink ref="R111" r:id="rId107" display="pg.com"/>
    <hyperlink ref="R113" r:id="rId108" display="fitnessfirst.com"/>
    <hyperlink ref="R114" r:id="rId109" display="111skin.com"/>
    <hyperlink ref="R115" r:id="rId110" display="aviagames.com"/>
    <hyperlink ref="R116" r:id="rId111" display="merrell.com"/>
    <hyperlink ref="R117" r:id="rId112" display="starcobrands.com"/>
    <hyperlink ref="R118" r:id="rId113" display="loreal.com"/>
    <hyperlink ref="R119" r:id="rId114" display="entermaya.com"/>
    <hyperlink ref="R120" r:id="rId115" display="amorepacific.com"/>
    <hyperlink ref="R121" r:id="rId116" display="amorepacific.com"/>
    <hyperlink ref="R122" r:id="rId117" display="olymptrade.com"/>
    <hyperlink ref="R123" r:id="rId118" display="sweatcheck.fit"/>
    <hyperlink ref="R124" r:id="rId119" display="wati.io"/>
    <hyperlink ref="R125" r:id="rId120" display="cetaphil.com"/>
    <hyperlink ref="R126" r:id="rId121" display="mtch.com"/>
    <hyperlink ref="R127" r:id="rId122" display="happn.com"/>
    <hyperlink ref="R128" r:id="rId123" display="fatbastardburrito.ca"/>
    <hyperlink ref="R129" r:id="rId124" display="avatrade.com"/>
    <hyperlink ref="R130" r:id="rId125" display="twopoles.c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2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80211F-D44D-4D4C-A8B9-1E42DA17FC80}">
            <x14:dataBar minLength="10" maxLength="90" axisPosition="none" gradient="true">
              <x14:cfvo type="num">
                <xm:f>0</xm:f>
              </x14:cfvo>
              <x14:cfvo type="max"/>
              <x14:negativeFillColor rgb="FFEE4392"/>
              <x14:axisColor rgb="FF000000"/>
            </x14:dataBar>
          </x14:cfRule>
          <xm:sqref>K2:K130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AA57"/>
    <pageSetUpPr fitToPage="true"/>
  </sheetPr>
  <dimension ref="A1:K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5" min="4" style="0" width="2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40"/>
  </cols>
  <sheetData>
    <row r="1" customFormat="false" ht="30" hidden="false" customHeight="true" outlineLevel="0" collapsed="false">
      <c r="A1" s="12" t="s">
        <v>45</v>
      </c>
      <c r="B1" s="12" t="s">
        <v>47</v>
      </c>
      <c r="C1" s="12" t="s">
        <v>26</v>
      </c>
      <c r="D1" s="12" t="s">
        <v>55</v>
      </c>
      <c r="E1" s="12" t="s">
        <v>56</v>
      </c>
      <c r="F1" s="12" t="s">
        <v>561</v>
      </c>
      <c r="G1" s="12" t="s">
        <v>562</v>
      </c>
      <c r="H1" s="12" t="s">
        <v>563</v>
      </c>
      <c r="I1" s="12" t="s">
        <v>12</v>
      </c>
      <c r="J1" s="12" t="s">
        <v>25</v>
      </c>
      <c r="K1" s="12" t="s">
        <v>564</v>
      </c>
    </row>
    <row r="2" customFormat="false" ht="15" hidden="false" customHeight="false" outlineLevel="0" collapsed="false">
      <c r="A2" s="35" t="s">
        <v>355</v>
      </c>
      <c r="B2" s="36" t="s">
        <v>94</v>
      </c>
      <c r="C2" s="37" t="s">
        <v>34</v>
      </c>
      <c r="D2" s="37" t="s">
        <v>358</v>
      </c>
      <c r="E2" s="38" t="s">
        <v>359</v>
      </c>
      <c r="F2" s="39" t="n">
        <f aca="false">COUNTIF('Open Deals'!$A$2:$A$130,A2)</f>
        <v>1</v>
      </c>
      <c r="G2" s="40" t="n">
        <f aca="false">SUMIF('Open Deals'!$A$2:$A$130,A2,'Open Deals'!$I$2:$I$130)</f>
        <v>740000</v>
      </c>
      <c r="H2" s="37" t="str">
        <f aca="false">INDEX(Settings!$A$11:$A$16,SUMPRODUCT(MAX((COUNTIFS('Open Deals'!$A$2:$A$130,A2,'Open Deals'!$F$2:$F$130,Settings!$A$11:$A$16)&gt;0)*Settings!$B$11:$B$16)))</f>
        <v>Create Proposal</v>
      </c>
      <c r="I2" s="37" t="s">
        <v>14</v>
      </c>
      <c r="J2" s="37" t="s">
        <v>71</v>
      </c>
      <c r="K2" s="41" t="s">
        <v>357</v>
      </c>
    </row>
    <row r="3" customFormat="false" ht="15" hidden="false" customHeight="false" outlineLevel="0" collapsed="false">
      <c r="A3" s="35" t="s">
        <v>57</v>
      </c>
      <c r="B3" s="36" t="s">
        <v>59</v>
      </c>
      <c r="C3" s="37" t="s">
        <v>30</v>
      </c>
      <c r="D3" s="37" t="s">
        <v>62</v>
      </c>
      <c r="E3" s="38" t="s">
        <v>63</v>
      </c>
      <c r="F3" s="39" t="n">
        <f aca="false">COUNTIF('Open Deals'!$A$2:$A$130,A3)</f>
        <v>2</v>
      </c>
      <c r="G3" s="40" t="n">
        <f aca="false">SUMIF('Open Deals'!$A$2:$A$130,A3,'Open Deals'!$I$2:$I$130)</f>
        <v>666000</v>
      </c>
      <c r="H3" s="37" t="str">
        <f aca="false">INDEX(Settings!$A$11:$A$16,SUMPRODUCT(MAX((COUNTIFS('Open Deals'!$A$2:$A$130,A3,'Open Deals'!$F$2:$F$130,Settings!$A$11:$A$16)&gt;0)*Settings!$B$11:$B$16)))</f>
        <v>IO Sent Out</v>
      </c>
      <c r="I3" s="37" t="s">
        <v>14</v>
      </c>
      <c r="J3" s="37" t="s">
        <v>29</v>
      </c>
      <c r="K3" s="41" t="s">
        <v>61</v>
      </c>
    </row>
    <row r="4" customFormat="false" ht="15" hidden="false" customHeight="false" outlineLevel="0" collapsed="false">
      <c r="A4" s="35" t="s">
        <v>124</v>
      </c>
      <c r="B4" s="36" t="s">
        <v>59</v>
      </c>
      <c r="C4" s="37" t="s">
        <v>28</v>
      </c>
      <c r="D4" s="37" t="s">
        <v>73</v>
      </c>
      <c r="E4" s="38" t="s">
        <v>127</v>
      </c>
      <c r="F4" s="39" t="n">
        <f aca="false">COUNTIF('Open Deals'!$A$2:$A$130,A4)</f>
        <v>8</v>
      </c>
      <c r="G4" s="40" t="n">
        <f aca="false">SUMIF('Open Deals'!$A$2:$A$130,A4,'Open Deals'!$I$2:$I$130)</f>
        <v>584500</v>
      </c>
      <c r="H4" s="37" t="str">
        <f aca="false">INDEX(Settings!$A$11:$A$16,SUMPRODUCT(MAX((COUNTIFS('Open Deals'!$A$2:$A$130,A4,'Open Deals'!$F$2:$F$130,Settings!$A$11:$A$16)&gt;0)*Settings!$B$11:$B$16)))</f>
        <v>Negotiation</v>
      </c>
      <c r="I4" s="37" t="s">
        <v>14</v>
      </c>
      <c r="J4" s="37" t="s">
        <v>27</v>
      </c>
      <c r="K4" s="41" t="s">
        <v>565</v>
      </c>
    </row>
    <row r="5" customFormat="false" ht="15" hidden="false" customHeight="false" outlineLevel="0" collapsed="false">
      <c r="A5" s="35" t="s">
        <v>101</v>
      </c>
      <c r="B5" s="36" t="s">
        <v>59</v>
      </c>
      <c r="C5" s="37" t="s">
        <v>28</v>
      </c>
      <c r="D5" s="37" t="s">
        <v>73</v>
      </c>
      <c r="E5" s="38" t="s">
        <v>104</v>
      </c>
      <c r="F5" s="39" t="n">
        <f aca="false">COUNTIF('Open Deals'!$A$2:$A$130,A5)</f>
        <v>4</v>
      </c>
      <c r="G5" s="40" t="n">
        <f aca="false">SUMIF('Open Deals'!$A$2:$A$130,A5,'Open Deals'!$I$2:$I$130)</f>
        <v>293410</v>
      </c>
      <c r="H5" s="37" t="str">
        <f aca="false">INDEX(Settings!$A$11:$A$16,SUMPRODUCT(MAX((COUNTIFS('Open Deals'!$A$2:$A$130,A5,'Open Deals'!$F$2:$F$130,Settings!$A$11:$A$16)&gt;0)*Settings!$B$11:$B$16)))</f>
        <v>IO Sent Out</v>
      </c>
      <c r="I5" s="37" t="s">
        <v>14</v>
      </c>
      <c r="J5" s="37" t="s">
        <v>27</v>
      </c>
      <c r="K5" s="41" t="s">
        <v>566</v>
      </c>
    </row>
    <row r="6" customFormat="false" ht="15" hidden="false" customHeight="false" outlineLevel="0" collapsed="false">
      <c r="A6" s="35" t="s">
        <v>270</v>
      </c>
      <c r="B6" s="36" t="s">
        <v>59</v>
      </c>
      <c r="C6" s="37" t="s">
        <v>28</v>
      </c>
      <c r="D6" s="37" t="s">
        <v>273</v>
      </c>
      <c r="E6" s="38" t="s">
        <v>274</v>
      </c>
      <c r="F6" s="39" t="n">
        <f aca="false">COUNTIF('Open Deals'!$A$2:$A$130,A6)</f>
        <v>2</v>
      </c>
      <c r="G6" s="40" t="n">
        <f aca="false">SUMIF('Open Deals'!$A$2:$A$130,A6,'Open Deals'!$I$2:$I$130)</f>
        <v>287000</v>
      </c>
      <c r="H6" s="37" t="str">
        <f aca="false">INDEX(Settings!$A$11:$A$16,SUMPRODUCT(MAX((COUNTIFS('Open Deals'!$A$2:$A$130,A6,'Open Deals'!$F$2:$F$130,Settings!$A$11:$A$16)&gt;0)*Settings!$B$11:$B$16)))</f>
        <v>Feedback</v>
      </c>
      <c r="I6" s="37" t="s">
        <v>16</v>
      </c>
      <c r="J6" s="37" t="s">
        <v>31</v>
      </c>
      <c r="K6" s="41" t="s">
        <v>272</v>
      </c>
    </row>
    <row r="7" customFormat="false" ht="15" hidden="false" customHeight="false" outlineLevel="0" collapsed="false">
      <c r="A7" s="35" t="s">
        <v>190</v>
      </c>
      <c r="B7" s="36" t="s">
        <v>59</v>
      </c>
      <c r="C7" s="37" t="s">
        <v>32</v>
      </c>
      <c r="D7" s="37" t="s">
        <v>99</v>
      </c>
      <c r="E7" s="38" t="s">
        <v>193</v>
      </c>
      <c r="F7" s="39" t="n">
        <f aca="false">COUNTIF('Open Deals'!$A$2:$A$130,A7)</f>
        <v>1</v>
      </c>
      <c r="G7" s="40" t="n">
        <f aca="false">SUMIF('Open Deals'!$A$2:$A$130,A7,'Open Deals'!$I$2:$I$130)</f>
        <v>250000</v>
      </c>
      <c r="H7" s="37" t="str">
        <f aca="false">INDEX(Settings!$A$11:$A$16,SUMPRODUCT(MAX((COUNTIFS('Open Deals'!$A$2:$A$130,A7,'Open Deals'!$F$2:$F$130,Settings!$A$11:$A$16)&gt;0)*Settings!$B$11:$B$16)))</f>
        <v>Feedback</v>
      </c>
      <c r="I7" s="37" t="s">
        <v>16</v>
      </c>
      <c r="J7" s="37" t="s">
        <v>33</v>
      </c>
      <c r="K7" s="41" t="s">
        <v>192</v>
      </c>
    </row>
    <row r="8" customFormat="false" ht="15" hidden="false" customHeight="false" outlineLevel="0" collapsed="false">
      <c r="A8" s="35" t="s">
        <v>64</v>
      </c>
      <c r="B8" s="36" t="s">
        <v>59</v>
      </c>
      <c r="C8" s="37" t="s">
        <v>30</v>
      </c>
      <c r="D8" s="37" t="s">
        <v>67</v>
      </c>
      <c r="E8" s="38" t="s">
        <v>68</v>
      </c>
      <c r="F8" s="39" t="n">
        <f aca="false">COUNTIF('Open Deals'!$A$2:$A$130,A8)</f>
        <v>3</v>
      </c>
      <c r="G8" s="40" t="n">
        <f aca="false">SUMIF('Open Deals'!$A$2:$A$130,A8,'Open Deals'!$I$2:$I$130)</f>
        <v>203500</v>
      </c>
      <c r="H8" s="37" t="str">
        <f aca="false">INDEX(Settings!$A$11:$A$16,SUMPRODUCT(MAX((COUNTIFS('Open Deals'!$A$2:$A$130,A8,'Open Deals'!$F$2:$F$130,Settings!$A$11:$A$16)&gt;0)*Settings!$B$11:$B$16)))</f>
        <v>IO Sent Out</v>
      </c>
      <c r="I8" s="37" t="s">
        <v>18</v>
      </c>
      <c r="J8" s="37" t="s">
        <v>31</v>
      </c>
      <c r="K8" s="41" t="s">
        <v>66</v>
      </c>
    </row>
    <row r="9" customFormat="false" ht="15" hidden="false" customHeight="false" outlineLevel="0" collapsed="false">
      <c r="A9" s="35" t="s">
        <v>450</v>
      </c>
      <c r="B9" s="36" t="s">
        <v>59</v>
      </c>
      <c r="C9" s="37" t="s">
        <v>32</v>
      </c>
      <c r="D9" s="37" t="s">
        <v>99</v>
      </c>
      <c r="E9" s="38" t="s">
        <v>453</v>
      </c>
      <c r="F9" s="39" t="n">
        <f aca="false">COUNTIF('Open Deals'!$A$2:$A$130,A9)</f>
        <v>1</v>
      </c>
      <c r="G9" s="40" t="n">
        <f aca="false">SUMIF('Open Deals'!$A$2:$A$130,A9,'Open Deals'!$I$2:$I$130)</f>
        <v>200000</v>
      </c>
      <c r="H9" s="37" t="str">
        <f aca="false">INDEX(Settings!$A$11:$A$16,SUMPRODUCT(MAX((COUNTIFS('Open Deals'!$A$2:$A$130,A9,'Open Deals'!$F$2:$F$130,Settings!$A$11:$A$16)&gt;0)*Settings!$B$11:$B$16)))</f>
        <v>Understand Need/Problem</v>
      </c>
      <c r="I9" s="37" t="s">
        <v>16</v>
      </c>
      <c r="J9" s="37" t="s">
        <v>71</v>
      </c>
      <c r="K9" s="41" t="s">
        <v>452</v>
      </c>
    </row>
    <row r="10" customFormat="false" ht="15" hidden="false" customHeight="false" outlineLevel="0" collapsed="false">
      <c r="A10" s="35" t="s">
        <v>360</v>
      </c>
      <c r="B10" s="36" t="s">
        <v>59</v>
      </c>
      <c r="C10" s="37" t="s">
        <v>39</v>
      </c>
      <c r="D10" s="37" t="s">
        <v>363</v>
      </c>
      <c r="E10" s="38" t="s">
        <v>364</v>
      </c>
      <c r="F10" s="39" t="n">
        <f aca="false">COUNTIF('Open Deals'!$A$2:$A$130,A10)</f>
        <v>1</v>
      </c>
      <c r="G10" s="40" t="n">
        <f aca="false">SUMIF('Open Deals'!$A$2:$A$130,A10,'Open Deals'!$I$2:$I$130)</f>
        <v>148000</v>
      </c>
      <c r="H10" s="37" t="str">
        <f aca="false">INDEX(Settings!$A$11:$A$16,SUMPRODUCT(MAX((COUNTIFS('Open Deals'!$A$2:$A$130,A10,'Open Deals'!$F$2:$F$130,Settings!$A$11:$A$16)&gt;0)*Settings!$B$11:$B$16)))</f>
        <v>Create Proposal</v>
      </c>
      <c r="I10" s="37" t="s">
        <v>16</v>
      </c>
      <c r="J10" s="37" t="s">
        <v>31</v>
      </c>
      <c r="K10" s="41" t="s">
        <v>362</v>
      </c>
    </row>
    <row r="11" customFormat="false" ht="15" hidden="false" customHeight="false" outlineLevel="0" collapsed="false">
      <c r="A11" s="35" t="s">
        <v>114</v>
      </c>
      <c r="B11" s="36" t="s">
        <v>94</v>
      </c>
      <c r="C11" s="37" t="s">
        <v>38</v>
      </c>
      <c r="D11" s="37" t="s">
        <v>117</v>
      </c>
      <c r="E11" s="38" t="s">
        <v>118</v>
      </c>
      <c r="F11" s="39" t="n">
        <f aca="false">COUNTIF('Open Deals'!$A$2:$A$130,A11)</f>
        <v>1</v>
      </c>
      <c r="G11" s="40" t="n">
        <f aca="false">SUMIF('Open Deals'!$A$2:$A$130,A11,'Open Deals'!$I$2:$I$130)</f>
        <v>111000</v>
      </c>
      <c r="H11" s="37" t="str">
        <f aca="false">INDEX(Settings!$A$11:$A$16,SUMPRODUCT(MAX((COUNTIFS('Open Deals'!$A$2:$A$130,A11,'Open Deals'!$F$2:$F$130,Settings!$A$11:$A$16)&gt;0)*Settings!$B$11:$B$16)))</f>
        <v>Negotiation</v>
      </c>
      <c r="I11" s="37" t="s">
        <v>18</v>
      </c>
      <c r="J11" s="37" t="s">
        <v>71</v>
      </c>
      <c r="K11" s="41" t="s">
        <v>116</v>
      </c>
    </row>
    <row r="12" customFormat="false" ht="15" hidden="false" customHeight="false" outlineLevel="0" collapsed="false">
      <c r="A12" s="35" t="s">
        <v>75</v>
      </c>
      <c r="B12" s="36" t="s">
        <v>59</v>
      </c>
      <c r="C12" s="37" t="s">
        <v>30</v>
      </c>
      <c r="D12" s="37" t="s">
        <v>79</v>
      </c>
      <c r="E12" s="38" t="s">
        <v>80</v>
      </c>
      <c r="F12" s="39" t="n">
        <f aca="false">COUNTIF('Open Deals'!$A$2:$A$130,A12)</f>
        <v>2</v>
      </c>
      <c r="G12" s="40" t="n">
        <f aca="false">SUMIF('Open Deals'!$A$2:$A$130,A12,'Open Deals'!$I$2:$I$130)</f>
        <v>110000</v>
      </c>
      <c r="H12" s="37" t="str">
        <f aca="false">INDEX(Settings!$A$11:$A$16,SUMPRODUCT(MAX((COUNTIFS('Open Deals'!$A$2:$A$130,A12,'Open Deals'!$F$2:$F$130,Settings!$A$11:$A$16)&gt;0)*Settings!$B$11:$B$16)))</f>
        <v>IO Sent Out</v>
      </c>
      <c r="I12" s="37" t="s">
        <v>18</v>
      </c>
      <c r="J12" s="37" t="s">
        <v>71</v>
      </c>
      <c r="K12" s="41" t="s">
        <v>78</v>
      </c>
    </row>
    <row r="13" customFormat="false" ht="15" hidden="false" customHeight="false" outlineLevel="0" collapsed="false">
      <c r="A13" s="35" t="s">
        <v>134</v>
      </c>
      <c r="B13" s="36" t="s">
        <v>59</v>
      </c>
      <c r="C13" s="37" t="s">
        <v>32</v>
      </c>
      <c r="D13" s="37" t="s">
        <v>137</v>
      </c>
      <c r="E13" s="38" t="s">
        <v>138</v>
      </c>
      <c r="F13" s="39" t="n">
        <f aca="false">COUNTIF('Open Deals'!$A$2:$A$130,A13)</f>
        <v>3</v>
      </c>
      <c r="G13" s="40" t="n">
        <f aca="false">SUMIF('Open Deals'!$A$2:$A$130,A13,'Open Deals'!$I$2:$I$130)</f>
        <v>105000</v>
      </c>
      <c r="H13" s="37" t="str">
        <f aca="false">INDEX(Settings!$A$11:$A$16,SUMPRODUCT(MAX((COUNTIFS('Open Deals'!$A$2:$A$130,A13,'Open Deals'!$F$2:$F$130,Settings!$A$11:$A$16)&gt;0)*Settings!$B$11:$B$16)))</f>
        <v>Negotiation</v>
      </c>
      <c r="I13" s="37" t="s">
        <v>14</v>
      </c>
      <c r="J13" s="37" t="s">
        <v>29</v>
      </c>
      <c r="K13" s="41" t="s">
        <v>136</v>
      </c>
    </row>
    <row r="14" customFormat="false" ht="15" hidden="false" customHeight="false" outlineLevel="0" collapsed="false">
      <c r="A14" s="35" t="s">
        <v>196</v>
      </c>
      <c r="B14" s="36" t="s">
        <v>94</v>
      </c>
      <c r="C14" s="37" t="s">
        <v>40</v>
      </c>
      <c r="D14" s="37" t="s">
        <v>199</v>
      </c>
      <c r="E14" s="38" t="s">
        <v>200</v>
      </c>
      <c r="F14" s="39" t="n">
        <f aca="false">COUNTIF('Open Deals'!$A$2:$A$130,A14)</f>
        <v>1</v>
      </c>
      <c r="G14" s="40" t="n">
        <f aca="false">SUMIF('Open Deals'!$A$2:$A$130,A14,'Open Deals'!$I$2:$I$130)</f>
        <v>103600</v>
      </c>
      <c r="H14" s="37" t="str">
        <f aca="false">INDEX(Settings!$A$11:$A$16,SUMPRODUCT(MAX((COUNTIFS('Open Deals'!$A$2:$A$130,A14,'Open Deals'!$F$2:$F$130,Settings!$A$11:$A$16)&gt;0)*Settings!$B$11:$B$16)))</f>
        <v>Feedback</v>
      </c>
      <c r="I14" s="37" t="s">
        <v>18</v>
      </c>
      <c r="J14" s="37" t="s">
        <v>71</v>
      </c>
      <c r="K14" s="41" t="s">
        <v>198</v>
      </c>
    </row>
    <row r="15" customFormat="false" ht="15" hidden="false" customHeight="false" outlineLevel="0" collapsed="false">
      <c r="A15" s="35" t="s">
        <v>201</v>
      </c>
      <c r="B15" s="36" t="s">
        <v>94</v>
      </c>
      <c r="C15" s="37" t="s">
        <v>41</v>
      </c>
      <c r="D15" s="37" t="s">
        <v>204</v>
      </c>
      <c r="E15" s="38" t="s">
        <v>205</v>
      </c>
      <c r="F15" s="39" t="n">
        <f aca="false">COUNTIF('Open Deals'!$A$2:$A$130,A15)</f>
        <v>1</v>
      </c>
      <c r="G15" s="40" t="n">
        <f aca="false">SUMIF('Open Deals'!$A$2:$A$130,A15,'Open Deals'!$I$2:$I$130)</f>
        <v>100000</v>
      </c>
      <c r="H15" s="37" t="str">
        <f aca="false">INDEX(Settings!$A$11:$A$16,SUMPRODUCT(MAX((COUNTIFS('Open Deals'!$A$2:$A$130,A15,'Open Deals'!$F$2:$F$130,Settings!$A$11:$A$16)&gt;0)*Settings!$B$11:$B$16)))</f>
        <v>Feedback</v>
      </c>
      <c r="I15" s="37" t="s">
        <v>18</v>
      </c>
      <c r="J15" s="37" t="s">
        <v>71</v>
      </c>
      <c r="K15" s="41" t="s">
        <v>203</v>
      </c>
    </row>
    <row r="16" customFormat="false" ht="15" hidden="false" customHeight="false" outlineLevel="0" collapsed="false">
      <c r="A16" s="35" t="s">
        <v>313</v>
      </c>
      <c r="B16" s="36" t="s">
        <v>94</v>
      </c>
      <c r="C16" s="37" t="s">
        <v>30</v>
      </c>
      <c r="D16" s="37" t="s">
        <v>315</v>
      </c>
      <c r="E16" s="38" t="s">
        <v>316</v>
      </c>
      <c r="F16" s="39" t="n">
        <f aca="false">COUNTIF('Open Deals'!$A$2:$A$130,A16)</f>
        <v>1</v>
      </c>
      <c r="G16" s="40" t="n">
        <f aca="false">SUMIF('Open Deals'!$A$2:$A$130,A16,'Open Deals'!$I$2:$I$130)</f>
        <v>100000</v>
      </c>
      <c r="H16" s="37" t="str">
        <f aca="false">INDEX(Settings!$A$11:$A$16,SUMPRODUCT(MAX((COUNTIFS('Open Deals'!$A$2:$A$130,A16,'Open Deals'!$F$2:$F$130,Settings!$A$11:$A$16)&gt;0)*Settings!$B$11:$B$16)))</f>
        <v>Present Proposal</v>
      </c>
      <c r="I16" s="37" t="s">
        <v>16</v>
      </c>
      <c r="J16" s="37" t="s">
        <v>71</v>
      </c>
      <c r="K16" s="41" t="s">
        <v>314</v>
      </c>
    </row>
    <row r="17" customFormat="false" ht="15" hidden="false" customHeight="false" outlineLevel="0" collapsed="false">
      <c r="A17" s="35" t="s">
        <v>206</v>
      </c>
      <c r="B17" s="36" t="s">
        <v>94</v>
      </c>
      <c r="C17" s="37" t="s">
        <v>32</v>
      </c>
      <c r="D17" s="37" t="s">
        <v>209</v>
      </c>
      <c r="E17" s="38" t="s">
        <v>210</v>
      </c>
      <c r="F17" s="39" t="n">
        <f aca="false">COUNTIF('Open Deals'!$A$2:$A$130,A17)</f>
        <v>1</v>
      </c>
      <c r="G17" s="40" t="n">
        <f aca="false">SUMIF('Open Deals'!$A$2:$A$130,A17,'Open Deals'!$I$2:$I$130)</f>
        <v>90000</v>
      </c>
      <c r="H17" s="37" t="str">
        <f aca="false">INDEX(Settings!$A$11:$A$16,SUMPRODUCT(MAX((COUNTIFS('Open Deals'!$A$2:$A$130,A17,'Open Deals'!$F$2:$F$130,Settings!$A$11:$A$16)&gt;0)*Settings!$B$11:$B$16)))</f>
        <v>Feedback</v>
      </c>
      <c r="I17" s="37" t="s">
        <v>18</v>
      </c>
      <c r="J17" s="37" t="s">
        <v>71</v>
      </c>
      <c r="K17" s="41" t="s">
        <v>208</v>
      </c>
    </row>
    <row r="18" customFormat="false" ht="15" hidden="false" customHeight="false" outlineLevel="0" collapsed="false">
      <c r="A18" s="35" t="s">
        <v>365</v>
      </c>
      <c r="B18" s="36" t="s">
        <v>94</v>
      </c>
      <c r="C18" s="37" t="s">
        <v>30</v>
      </c>
      <c r="D18" s="37" t="s">
        <v>368</v>
      </c>
      <c r="E18" s="38" t="s">
        <v>369</v>
      </c>
      <c r="F18" s="39" t="n">
        <f aca="false">COUNTIF('Open Deals'!$A$2:$A$130,A18)</f>
        <v>1</v>
      </c>
      <c r="G18" s="40" t="n">
        <f aca="false">SUMIF('Open Deals'!$A$2:$A$130,A18,'Open Deals'!$I$2:$I$130)</f>
        <v>85000</v>
      </c>
      <c r="H18" s="37" t="str">
        <f aca="false">INDEX(Settings!$A$11:$A$16,SUMPRODUCT(MAX((COUNTIFS('Open Deals'!$A$2:$A$130,A18,'Open Deals'!$F$2:$F$130,Settings!$A$11:$A$16)&gt;0)*Settings!$B$11:$B$16)))</f>
        <v>Create Proposal</v>
      </c>
      <c r="I18" s="37" t="s">
        <v>14</v>
      </c>
      <c r="J18" s="37" t="s">
        <v>71</v>
      </c>
      <c r="K18" s="41" t="s">
        <v>367</v>
      </c>
    </row>
    <row r="19" customFormat="false" ht="15" hidden="false" customHeight="false" outlineLevel="0" collapsed="false">
      <c r="A19" s="35" t="s">
        <v>455</v>
      </c>
      <c r="B19" s="36" t="s">
        <v>59</v>
      </c>
      <c r="C19" s="37" t="s">
        <v>32</v>
      </c>
      <c r="D19" s="37" t="s">
        <v>385</v>
      </c>
      <c r="E19" s="38" t="s">
        <v>458</v>
      </c>
      <c r="F19" s="39" t="n">
        <f aca="false">COUNTIF('Open Deals'!$A$2:$A$130,A19)</f>
        <v>1</v>
      </c>
      <c r="G19" s="40" t="n">
        <f aca="false">SUMIF('Open Deals'!$A$2:$A$130,A19,'Open Deals'!$I$2:$I$130)</f>
        <v>85000</v>
      </c>
      <c r="H19" s="37" t="str">
        <f aca="false">INDEX(Settings!$A$11:$A$16,SUMPRODUCT(MAX((COUNTIFS('Open Deals'!$A$2:$A$130,A19,'Open Deals'!$F$2:$F$130,Settings!$A$11:$A$16)&gt;0)*Settings!$B$11:$B$16)))</f>
        <v>Understand Need/Problem</v>
      </c>
      <c r="I19" s="37" t="s">
        <v>16</v>
      </c>
      <c r="J19" s="37" t="s">
        <v>35</v>
      </c>
      <c r="K19" s="41" t="s">
        <v>457</v>
      </c>
    </row>
    <row r="20" customFormat="false" ht="15" hidden="false" customHeight="false" outlineLevel="0" collapsed="false">
      <c r="A20" s="35" t="s">
        <v>105</v>
      </c>
      <c r="B20" s="36" t="s">
        <v>59</v>
      </c>
      <c r="C20" s="37" t="s">
        <v>30</v>
      </c>
      <c r="D20" s="37" t="s">
        <v>108</v>
      </c>
      <c r="E20" s="38" t="s">
        <v>109</v>
      </c>
      <c r="F20" s="39" t="n">
        <f aca="false">COUNTIF('Open Deals'!$A$2:$A$130,A20)</f>
        <v>2</v>
      </c>
      <c r="G20" s="40" t="n">
        <f aca="false">SUMIF('Open Deals'!$A$2:$A$130,A20,'Open Deals'!$I$2:$I$130)</f>
        <v>77700</v>
      </c>
      <c r="H20" s="37" t="str">
        <f aca="false">INDEX(Settings!$A$11:$A$16,SUMPRODUCT(MAX((COUNTIFS('Open Deals'!$A$2:$A$130,A20,'Open Deals'!$F$2:$F$130,Settings!$A$11:$A$16)&gt;0)*Settings!$B$11:$B$16)))</f>
        <v>IO Sent Out</v>
      </c>
      <c r="I20" s="37" t="s">
        <v>16</v>
      </c>
      <c r="J20" s="37" t="s">
        <v>33</v>
      </c>
      <c r="K20" s="41" t="s">
        <v>107</v>
      </c>
    </row>
    <row r="21" customFormat="false" ht="15" hidden="false" customHeight="false" outlineLevel="0" collapsed="false">
      <c r="A21" s="35" t="s">
        <v>211</v>
      </c>
      <c r="B21" s="36" t="s">
        <v>94</v>
      </c>
      <c r="C21" s="37" t="s">
        <v>36</v>
      </c>
      <c r="D21" s="37" t="s">
        <v>214</v>
      </c>
      <c r="E21" s="38" t="s">
        <v>215</v>
      </c>
      <c r="F21" s="39" t="n">
        <f aca="false">COUNTIF('Open Deals'!$A$2:$A$130,A21)</f>
        <v>1</v>
      </c>
      <c r="G21" s="40" t="n">
        <f aca="false">SUMIF('Open Deals'!$A$2:$A$130,A21,'Open Deals'!$I$2:$I$130)</f>
        <v>76500</v>
      </c>
      <c r="H21" s="37" t="str">
        <f aca="false">INDEX(Settings!$A$11:$A$16,SUMPRODUCT(MAX((COUNTIFS('Open Deals'!$A$2:$A$130,A21,'Open Deals'!$F$2:$F$130,Settings!$A$11:$A$16)&gt;0)*Settings!$B$11:$B$16)))</f>
        <v>Feedback</v>
      </c>
      <c r="I21" s="37" t="s">
        <v>18</v>
      </c>
      <c r="J21" s="37" t="s">
        <v>71</v>
      </c>
      <c r="K21" s="41" t="s">
        <v>213</v>
      </c>
    </row>
    <row r="22" customFormat="false" ht="15" hidden="false" customHeight="false" outlineLevel="0" collapsed="false">
      <c r="A22" s="35" t="s">
        <v>69</v>
      </c>
      <c r="B22" s="36" t="s">
        <v>59</v>
      </c>
      <c r="C22" s="37" t="s">
        <v>28</v>
      </c>
      <c r="D22" s="37" t="s">
        <v>73</v>
      </c>
      <c r="E22" s="38" t="s">
        <v>74</v>
      </c>
      <c r="F22" s="39" t="n">
        <f aca="false">COUNTIF('Open Deals'!$A$2:$A$130,A22)</f>
        <v>1</v>
      </c>
      <c r="G22" s="40" t="n">
        <f aca="false">SUMIF('Open Deals'!$A$2:$A$130,A22,'Open Deals'!$I$2:$I$130)</f>
        <v>74000</v>
      </c>
      <c r="H22" s="37" t="str">
        <f aca="false">INDEX(Settings!$A$11:$A$16,SUMPRODUCT(MAX((COUNTIFS('Open Deals'!$A$2:$A$130,A22,'Open Deals'!$F$2:$F$130,Settings!$A$11:$A$16)&gt;0)*Settings!$B$11:$B$16)))</f>
        <v>IO Sent Out</v>
      </c>
      <c r="I22" s="37" t="s">
        <v>14</v>
      </c>
      <c r="J22" s="37" t="s">
        <v>71</v>
      </c>
      <c r="K22" s="41" t="s">
        <v>72</v>
      </c>
    </row>
    <row r="23" customFormat="false" ht="15" hidden="false" customHeight="false" outlineLevel="0" collapsed="false">
      <c r="A23" s="35" t="s">
        <v>147</v>
      </c>
      <c r="B23" s="36" t="s">
        <v>94</v>
      </c>
      <c r="C23" s="37" t="s">
        <v>36</v>
      </c>
      <c r="D23" s="37" t="s">
        <v>150</v>
      </c>
      <c r="E23" s="38" t="s">
        <v>151</v>
      </c>
      <c r="F23" s="39" t="n">
        <f aca="false">COUNTIF('Open Deals'!$A$2:$A$130,A23)</f>
        <v>2</v>
      </c>
      <c r="G23" s="40" t="n">
        <f aca="false">SUMIF('Open Deals'!$A$2:$A$130,A23,'Open Deals'!$I$2:$I$130)</f>
        <v>74000</v>
      </c>
      <c r="H23" s="37" t="str">
        <f aca="false">INDEX(Settings!$A$11:$A$16,SUMPRODUCT(MAX((COUNTIFS('Open Deals'!$A$2:$A$130,A23,'Open Deals'!$F$2:$F$130,Settings!$A$11:$A$16)&gt;0)*Settings!$B$11:$B$16)))</f>
        <v>Negotiation</v>
      </c>
      <c r="I23" s="37" t="s">
        <v>18</v>
      </c>
      <c r="J23" s="37" t="s">
        <v>71</v>
      </c>
      <c r="K23" s="41" t="s">
        <v>149</v>
      </c>
    </row>
    <row r="24" customFormat="false" ht="15" hidden="false" customHeight="false" outlineLevel="0" collapsed="false">
      <c r="A24" s="35" t="s">
        <v>218</v>
      </c>
      <c r="B24" s="36" t="s">
        <v>94</v>
      </c>
      <c r="C24" s="37" t="s">
        <v>32</v>
      </c>
      <c r="D24" s="37" t="s">
        <v>221</v>
      </c>
      <c r="E24" s="38" t="s">
        <v>222</v>
      </c>
      <c r="F24" s="39" t="n">
        <f aca="false">COUNTIF('Open Deals'!$A$2:$A$130,A24)</f>
        <v>1</v>
      </c>
      <c r="G24" s="40" t="n">
        <f aca="false">SUMIF('Open Deals'!$A$2:$A$130,A24,'Open Deals'!$I$2:$I$130)</f>
        <v>74000</v>
      </c>
      <c r="H24" s="37" t="str">
        <f aca="false">INDEX(Settings!$A$11:$A$16,SUMPRODUCT(MAX((COUNTIFS('Open Deals'!$A$2:$A$130,A24,'Open Deals'!$F$2:$F$130,Settings!$A$11:$A$16)&gt;0)*Settings!$B$11:$B$16)))</f>
        <v>Feedback</v>
      </c>
      <c r="I24" s="37" t="s">
        <v>18</v>
      </c>
      <c r="J24" s="37" t="s">
        <v>71</v>
      </c>
      <c r="K24" s="41" t="s">
        <v>220</v>
      </c>
    </row>
    <row r="25" customFormat="false" ht="15" hidden="false" customHeight="false" outlineLevel="0" collapsed="false">
      <c r="A25" s="35" t="s">
        <v>223</v>
      </c>
      <c r="B25" s="36" t="s">
        <v>94</v>
      </c>
      <c r="C25" s="37" t="s">
        <v>41</v>
      </c>
      <c r="D25" s="37" t="s">
        <v>225</v>
      </c>
      <c r="E25" s="38" t="s">
        <v>226</v>
      </c>
      <c r="F25" s="39" t="n">
        <f aca="false">COUNTIF('Open Deals'!$A$2:$A$130,A25)</f>
        <v>1</v>
      </c>
      <c r="G25" s="40" t="n">
        <f aca="false">SUMIF('Open Deals'!$A$2:$A$130,A25,'Open Deals'!$I$2:$I$130)</f>
        <v>74000</v>
      </c>
      <c r="H25" s="37" t="str">
        <f aca="false">INDEX(Settings!$A$11:$A$16,SUMPRODUCT(MAX((COUNTIFS('Open Deals'!$A$2:$A$130,A25,'Open Deals'!$F$2:$F$130,Settings!$A$11:$A$16)&gt;0)*Settings!$B$11:$B$16)))</f>
        <v>Feedback</v>
      </c>
      <c r="I25" s="37" t="s">
        <v>16</v>
      </c>
      <c r="J25" s="37" t="s">
        <v>71</v>
      </c>
      <c r="K25" s="41" t="s">
        <v>224</v>
      </c>
    </row>
    <row r="26" customFormat="false" ht="15" hidden="false" customHeight="false" outlineLevel="0" collapsed="false">
      <c r="A26" s="35" t="s">
        <v>227</v>
      </c>
      <c r="B26" s="36" t="s">
        <v>94</v>
      </c>
      <c r="C26" s="37" t="s">
        <v>38</v>
      </c>
      <c r="D26" s="37" t="s">
        <v>230</v>
      </c>
      <c r="E26" s="38" t="s">
        <v>231</v>
      </c>
      <c r="F26" s="39" t="n">
        <f aca="false">COUNTIF('Open Deals'!$A$2:$A$130,A26)</f>
        <v>1</v>
      </c>
      <c r="G26" s="40" t="n">
        <f aca="false">SUMIF('Open Deals'!$A$2:$A$130,A26,'Open Deals'!$I$2:$I$130)</f>
        <v>74000</v>
      </c>
      <c r="H26" s="37" t="str">
        <f aca="false">INDEX(Settings!$A$11:$A$16,SUMPRODUCT(MAX((COUNTIFS('Open Deals'!$A$2:$A$130,A26,'Open Deals'!$F$2:$F$130,Settings!$A$11:$A$16)&gt;0)*Settings!$B$11:$B$16)))</f>
        <v>Feedback</v>
      </c>
      <c r="I26" s="37" t="s">
        <v>18</v>
      </c>
      <c r="J26" s="37" t="s">
        <v>71</v>
      </c>
      <c r="K26" s="41" t="s">
        <v>229</v>
      </c>
    </row>
    <row r="27" customFormat="false" ht="15" hidden="false" customHeight="false" outlineLevel="0" collapsed="false">
      <c r="A27" s="35" t="s">
        <v>232</v>
      </c>
      <c r="B27" s="36" t="s">
        <v>94</v>
      </c>
      <c r="C27" s="37" t="s">
        <v>28</v>
      </c>
      <c r="D27" s="37" t="s">
        <v>235</v>
      </c>
      <c r="E27" s="38" t="s">
        <v>236</v>
      </c>
      <c r="F27" s="39" t="n">
        <f aca="false">COUNTIF('Open Deals'!$A$2:$A$130,A27)</f>
        <v>1</v>
      </c>
      <c r="G27" s="40" t="n">
        <f aca="false">SUMIF('Open Deals'!$A$2:$A$130,A27,'Open Deals'!$I$2:$I$130)</f>
        <v>74000</v>
      </c>
      <c r="H27" s="37" t="str">
        <f aca="false">INDEX(Settings!$A$11:$A$16,SUMPRODUCT(MAX((COUNTIFS('Open Deals'!$A$2:$A$130,A27,'Open Deals'!$F$2:$F$130,Settings!$A$11:$A$16)&gt;0)*Settings!$B$11:$B$16)))</f>
        <v>Feedback</v>
      </c>
      <c r="I27" s="37" t="s">
        <v>16</v>
      </c>
      <c r="J27" s="37" t="s">
        <v>71</v>
      </c>
      <c r="K27" s="41" t="s">
        <v>234</v>
      </c>
    </row>
    <row r="28" customFormat="false" ht="15" hidden="false" customHeight="false" outlineLevel="0" collapsed="false">
      <c r="A28" s="35" t="s">
        <v>237</v>
      </c>
      <c r="B28" s="36" t="s">
        <v>59</v>
      </c>
      <c r="C28" s="37" t="s">
        <v>30</v>
      </c>
      <c r="D28" s="37" t="s">
        <v>240</v>
      </c>
      <c r="E28" s="38" t="s">
        <v>241</v>
      </c>
      <c r="F28" s="39" t="n">
        <f aca="false">COUNTIF('Open Deals'!$A$2:$A$130,A28)</f>
        <v>1</v>
      </c>
      <c r="G28" s="40" t="n">
        <f aca="false">SUMIF('Open Deals'!$A$2:$A$130,A28,'Open Deals'!$I$2:$I$130)</f>
        <v>74000</v>
      </c>
      <c r="H28" s="37" t="str">
        <f aca="false">INDEX(Settings!$A$11:$A$16,SUMPRODUCT(MAX((COUNTIFS('Open Deals'!$A$2:$A$130,A28,'Open Deals'!$F$2:$F$130,Settings!$A$11:$A$16)&gt;0)*Settings!$B$11:$B$16)))</f>
        <v>Feedback</v>
      </c>
      <c r="I28" s="37" t="s">
        <v>16</v>
      </c>
      <c r="J28" s="37" t="s">
        <v>33</v>
      </c>
      <c r="K28" s="41" t="s">
        <v>239</v>
      </c>
    </row>
    <row r="29" customFormat="false" ht="15" hidden="false" customHeight="false" outlineLevel="0" collapsed="false">
      <c r="A29" s="35" t="s">
        <v>317</v>
      </c>
      <c r="B29" s="36" t="s">
        <v>59</v>
      </c>
      <c r="C29" s="37" t="s">
        <v>28</v>
      </c>
      <c r="D29" s="37" t="s">
        <v>320</v>
      </c>
      <c r="E29" s="38" t="s">
        <v>321</v>
      </c>
      <c r="F29" s="39" t="n">
        <f aca="false">COUNTIF('Open Deals'!$A$2:$A$130,A29)</f>
        <v>1</v>
      </c>
      <c r="G29" s="40" t="n">
        <f aca="false">SUMIF('Open Deals'!$A$2:$A$130,A29,'Open Deals'!$I$2:$I$130)</f>
        <v>74000</v>
      </c>
      <c r="H29" s="37" t="str">
        <f aca="false">INDEX(Settings!$A$11:$A$16,SUMPRODUCT(MAX((COUNTIFS('Open Deals'!$A$2:$A$130,A29,'Open Deals'!$F$2:$F$130,Settings!$A$11:$A$16)&gt;0)*Settings!$B$11:$B$16)))</f>
        <v>Present Proposal</v>
      </c>
      <c r="I29" s="37" t="s">
        <v>16</v>
      </c>
      <c r="J29" s="37" t="s">
        <v>31</v>
      </c>
      <c r="K29" s="41" t="s">
        <v>319</v>
      </c>
    </row>
    <row r="30" customFormat="false" ht="15" hidden="false" customHeight="false" outlineLevel="0" collapsed="false">
      <c r="A30" s="35" t="s">
        <v>322</v>
      </c>
      <c r="B30" s="36" t="s">
        <v>59</v>
      </c>
      <c r="C30" s="37" t="s">
        <v>36</v>
      </c>
      <c r="D30" s="37" t="s">
        <v>325</v>
      </c>
      <c r="E30" s="37"/>
      <c r="F30" s="39" t="n">
        <f aca="false">COUNTIF('Open Deals'!$A$2:$A$130,A30)</f>
        <v>1</v>
      </c>
      <c r="G30" s="40" t="n">
        <f aca="false">SUMIF('Open Deals'!$A$2:$A$130,A30,'Open Deals'!$I$2:$I$130)</f>
        <v>74000</v>
      </c>
      <c r="H30" s="37" t="str">
        <f aca="false">INDEX(Settings!$A$11:$A$16,SUMPRODUCT(MAX((COUNTIFS('Open Deals'!$A$2:$A$130,A30,'Open Deals'!$F$2:$F$130,Settings!$A$11:$A$16)&gt;0)*Settings!$B$11:$B$16)))</f>
        <v>Present Proposal</v>
      </c>
      <c r="I30" s="37" t="s">
        <v>18</v>
      </c>
      <c r="J30" s="37" t="s">
        <v>71</v>
      </c>
      <c r="K30" s="41" t="s">
        <v>324</v>
      </c>
    </row>
    <row r="31" customFormat="false" ht="15" hidden="false" customHeight="false" outlineLevel="0" collapsed="false">
      <c r="A31" s="35" t="s">
        <v>332</v>
      </c>
      <c r="B31" s="36" t="s">
        <v>59</v>
      </c>
      <c r="C31" s="37" t="s">
        <v>30</v>
      </c>
      <c r="D31" s="37" t="s">
        <v>240</v>
      </c>
      <c r="E31" s="38" t="s">
        <v>335</v>
      </c>
      <c r="F31" s="39" t="n">
        <f aca="false">COUNTIF('Open Deals'!$A$2:$A$130,A31)</f>
        <v>2</v>
      </c>
      <c r="G31" s="40" t="n">
        <f aca="false">SUMIF('Open Deals'!$A$2:$A$130,A31,'Open Deals'!$I$2:$I$130)</f>
        <v>74000</v>
      </c>
      <c r="H31" s="37" t="str">
        <f aca="false">INDEX(Settings!$A$11:$A$16,SUMPRODUCT(MAX((COUNTIFS('Open Deals'!$A$2:$A$130,A31,'Open Deals'!$F$2:$F$130,Settings!$A$11:$A$16)&gt;0)*Settings!$B$11:$B$16)))</f>
        <v>Present Proposal</v>
      </c>
      <c r="I31" s="37" t="s">
        <v>14</v>
      </c>
      <c r="J31" s="37" t="s">
        <v>29</v>
      </c>
      <c r="K31" s="41" t="s">
        <v>334</v>
      </c>
    </row>
    <row r="32" customFormat="false" ht="15" hidden="false" customHeight="false" outlineLevel="0" collapsed="false">
      <c r="A32" s="35" t="s">
        <v>242</v>
      </c>
      <c r="B32" s="36" t="s">
        <v>59</v>
      </c>
      <c r="C32" s="37" t="s">
        <v>36</v>
      </c>
      <c r="D32" s="37" t="s">
        <v>245</v>
      </c>
      <c r="E32" s="38" t="s">
        <v>246</v>
      </c>
      <c r="F32" s="39" t="n">
        <f aca="false">COUNTIF('Open Deals'!$A$2:$A$130,A32)</f>
        <v>1</v>
      </c>
      <c r="G32" s="40" t="n">
        <f aca="false">SUMIF('Open Deals'!$A$2:$A$130,A32,'Open Deals'!$I$2:$I$130)</f>
        <v>68000</v>
      </c>
      <c r="H32" s="37" t="str">
        <f aca="false">INDEX(Settings!$A$11:$A$16,SUMPRODUCT(MAX((COUNTIFS('Open Deals'!$A$2:$A$130,A32,'Open Deals'!$F$2:$F$130,Settings!$A$11:$A$16)&gt;0)*Settings!$B$11:$B$16)))</f>
        <v>Feedback</v>
      </c>
      <c r="I32" s="37" t="s">
        <v>16</v>
      </c>
      <c r="J32" s="37" t="s">
        <v>35</v>
      </c>
      <c r="K32" s="41" t="s">
        <v>244</v>
      </c>
    </row>
    <row r="33" customFormat="false" ht="15" hidden="false" customHeight="false" outlineLevel="0" collapsed="false">
      <c r="A33" s="35" t="s">
        <v>247</v>
      </c>
      <c r="B33" s="36" t="s">
        <v>94</v>
      </c>
      <c r="C33" s="37" t="s">
        <v>30</v>
      </c>
      <c r="D33" s="37" t="s">
        <v>250</v>
      </c>
      <c r="E33" s="38" t="s">
        <v>251</v>
      </c>
      <c r="F33" s="39" t="n">
        <f aca="false">COUNTIF('Open Deals'!$A$2:$A$130,A33)</f>
        <v>1</v>
      </c>
      <c r="G33" s="40" t="n">
        <f aca="false">SUMIF('Open Deals'!$A$2:$A$130,A33,'Open Deals'!$I$2:$I$130)</f>
        <v>66600</v>
      </c>
      <c r="H33" s="37" t="str">
        <f aca="false">INDEX(Settings!$A$11:$A$16,SUMPRODUCT(MAX((COUNTIFS('Open Deals'!$A$2:$A$130,A33,'Open Deals'!$F$2:$F$130,Settings!$A$11:$A$16)&gt;0)*Settings!$B$11:$B$16)))</f>
        <v>Feedback</v>
      </c>
      <c r="I33" s="37" t="s">
        <v>18</v>
      </c>
      <c r="J33" s="37" t="s">
        <v>71</v>
      </c>
      <c r="K33" s="41" t="s">
        <v>249</v>
      </c>
    </row>
    <row r="34" customFormat="false" ht="15" hidden="false" customHeight="false" outlineLevel="0" collapsed="false">
      <c r="A34" s="35" t="s">
        <v>168</v>
      </c>
      <c r="B34" s="36" t="s">
        <v>59</v>
      </c>
      <c r="C34" s="37" t="s">
        <v>28</v>
      </c>
      <c r="D34" s="37" t="s">
        <v>73</v>
      </c>
      <c r="E34" s="38" t="s">
        <v>171</v>
      </c>
      <c r="F34" s="39" t="n">
        <f aca="false">COUNTIF('Open Deals'!$A$2:$A$130,A34)</f>
        <v>2</v>
      </c>
      <c r="G34" s="40" t="n">
        <f aca="false">SUMIF('Open Deals'!$A$2:$A$130,A34,'Open Deals'!$I$2:$I$130)</f>
        <v>63640</v>
      </c>
      <c r="H34" s="37" t="str">
        <f aca="false">INDEX(Settings!$A$11:$A$16,SUMPRODUCT(MAX((COUNTIFS('Open Deals'!$A$2:$A$130,A34,'Open Deals'!$F$2:$F$130,Settings!$A$11:$A$16)&gt;0)*Settings!$B$11:$B$16)))</f>
        <v>Negotiation</v>
      </c>
      <c r="I34" s="37" t="s">
        <v>14</v>
      </c>
      <c r="J34" s="37" t="s">
        <v>29</v>
      </c>
      <c r="K34" s="41" t="s">
        <v>170</v>
      </c>
    </row>
    <row r="35" customFormat="false" ht="15" hidden="false" customHeight="false" outlineLevel="0" collapsed="false">
      <c r="A35" s="35" t="s">
        <v>375</v>
      </c>
      <c r="B35" s="36" t="s">
        <v>59</v>
      </c>
      <c r="C35" s="37" t="s">
        <v>30</v>
      </c>
      <c r="D35" s="37" t="s">
        <v>377</v>
      </c>
      <c r="E35" s="38" t="s">
        <v>378</v>
      </c>
      <c r="F35" s="39" t="n">
        <f aca="false">COUNTIF('Open Deals'!$A$2:$A$130,A35)</f>
        <v>2</v>
      </c>
      <c r="G35" s="40" t="n">
        <f aca="false">SUMIF('Open Deals'!$A$2:$A$130,A35,'Open Deals'!$I$2:$I$130)</f>
        <v>62900</v>
      </c>
      <c r="H35" s="37" t="str">
        <f aca="false">INDEX(Settings!$A$11:$A$16,SUMPRODUCT(MAX((COUNTIFS('Open Deals'!$A$2:$A$130,A35,'Open Deals'!$F$2:$F$130,Settings!$A$11:$A$16)&gt;0)*Settings!$B$11:$B$16)))</f>
        <v>Create Proposal</v>
      </c>
      <c r="I35" s="37" t="s">
        <v>16</v>
      </c>
      <c r="J35" s="37" t="s">
        <v>33</v>
      </c>
      <c r="K35" s="41" t="s">
        <v>376</v>
      </c>
    </row>
    <row r="36" customFormat="false" ht="15" hidden="false" customHeight="false" outlineLevel="0" collapsed="false">
      <c r="A36" s="35" t="s">
        <v>252</v>
      </c>
      <c r="B36" s="36" t="s">
        <v>59</v>
      </c>
      <c r="C36" s="37" t="s">
        <v>28</v>
      </c>
      <c r="D36" s="37" t="s">
        <v>235</v>
      </c>
      <c r="E36" s="38" t="s">
        <v>255</v>
      </c>
      <c r="F36" s="39" t="n">
        <f aca="false">COUNTIF('Open Deals'!$A$2:$A$130,A36)</f>
        <v>1</v>
      </c>
      <c r="G36" s="40" t="n">
        <f aca="false">SUMIF('Open Deals'!$A$2:$A$130,A36,'Open Deals'!$I$2:$I$130)</f>
        <v>60000</v>
      </c>
      <c r="H36" s="37" t="str">
        <f aca="false">INDEX(Settings!$A$11:$A$16,SUMPRODUCT(MAX((COUNTIFS('Open Deals'!$A$2:$A$130,A36,'Open Deals'!$F$2:$F$130,Settings!$A$11:$A$16)&gt;0)*Settings!$B$11:$B$16)))</f>
        <v>Feedback</v>
      </c>
      <c r="I36" s="37" t="s">
        <v>16</v>
      </c>
      <c r="J36" s="37" t="s">
        <v>71</v>
      </c>
      <c r="K36" s="41" t="s">
        <v>254</v>
      </c>
    </row>
    <row r="37" customFormat="false" ht="15" hidden="false" customHeight="false" outlineLevel="0" collapsed="false">
      <c r="A37" s="35" t="s">
        <v>459</v>
      </c>
      <c r="B37" s="36" t="s">
        <v>94</v>
      </c>
      <c r="C37" s="37" t="s">
        <v>42</v>
      </c>
      <c r="D37" s="37" t="s">
        <v>462</v>
      </c>
      <c r="E37" s="38" t="s">
        <v>463</v>
      </c>
      <c r="F37" s="39" t="n">
        <f aca="false">COUNTIF('Open Deals'!$A$2:$A$130,A37)</f>
        <v>1</v>
      </c>
      <c r="G37" s="40" t="n">
        <f aca="false">SUMIF('Open Deals'!$A$2:$A$130,A37,'Open Deals'!$I$2:$I$130)</f>
        <v>60000</v>
      </c>
      <c r="H37" s="37" t="str">
        <f aca="false">INDEX(Settings!$A$11:$A$16,SUMPRODUCT(MAX((COUNTIFS('Open Deals'!$A$2:$A$130,A37,'Open Deals'!$F$2:$F$130,Settings!$A$11:$A$16)&gt;0)*Settings!$B$11:$B$16)))</f>
        <v>Understand Need/Problem</v>
      </c>
      <c r="I37" s="37" t="s">
        <v>16</v>
      </c>
      <c r="J37" s="37" t="s">
        <v>71</v>
      </c>
      <c r="K37" s="41" t="s">
        <v>461</v>
      </c>
    </row>
    <row r="38" customFormat="false" ht="15" hidden="false" customHeight="false" outlineLevel="0" collapsed="false">
      <c r="A38" s="35" t="s">
        <v>120</v>
      </c>
      <c r="B38" s="36" t="s">
        <v>59</v>
      </c>
      <c r="C38" s="37" t="s">
        <v>28</v>
      </c>
      <c r="D38" s="37" t="s">
        <v>73</v>
      </c>
      <c r="E38" s="38" t="s">
        <v>123</v>
      </c>
      <c r="F38" s="39" t="n">
        <f aca="false">COUNTIF('Open Deals'!$A$2:$A$130,A38)</f>
        <v>1</v>
      </c>
      <c r="G38" s="40" t="n">
        <f aca="false">SUMIF('Open Deals'!$A$2:$A$130,A38,'Open Deals'!$I$2:$I$130)</f>
        <v>51800</v>
      </c>
      <c r="H38" s="37" t="str">
        <f aca="false">INDEX(Settings!$A$11:$A$16,SUMPRODUCT(MAX((COUNTIFS('Open Deals'!$A$2:$A$130,A38,'Open Deals'!$F$2:$F$130,Settings!$A$11:$A$16)&gt;0)*Settings!$B$11:$B$16)))</f>
        <v>Negotiation</v>
      </c>
      <c r="I38" s="37" t="s">
        <v>14</v>
      </c>
      <c r="J38" s="37" t="s">
        <v>27</v>
      </c>
      <c r="K38" s="41" t="s">
        <v>122</v>
      </c>
    </row>
    <row r="39" customFormat="false" ht="15" hidden="false" customHeight="false" outlineLevel="0" collapsed="false">
      <c r="A39" s="35" t="s">
        <v>163</v>
      </c>
      <c r="B39" s="36" t="s">
        <v>59</v>
      </c>
      <c r="C39" s="37" t="s">
        <v>30</v>
      </c>
      <c r="D39" s="37" t="s">
        <v>166</v>
      </c>
      <c r="E39" s="38" t="s">
        <v>167</v>
      </c>
      <c r="F39" s="39" t="n">
        <f aca="false">COUNTIF('Open Deals'!$A$2:$A$130,A39)</f>
        <v>2</v>
      </c>
      <c r="G39" s="40" t="n">
        <f aca="false">SUMIF('Open Deals'!$A$2:$A$130,A39,'Open Deals'!$I$2:$I$130)</f>
        <v>51800</v>
      </c>
      <c r="H39" s="37" t="str">
        <f aca="false">INDEX(Settings!$A$11:$A$16,SUMPRODUCT(MAX((COUNTIFS('Open Deals'!$A$2:$A$130,A39,'Open Deals'!$F$2:$F$130,Settings!$A$11:$A$16)&gt;0)*Settings!$B$11:$B$16)))</f>
        <v>Negotiation</v>
      </c>
      <c r="I39" s="37" t="s">
        <v>18</v>
      </c>
      <c r="J39" s="37" t="s">
        <v>31</v>
      </c>
      <c r="K39" s="41" t="s">
        <v>165</v>
      </c>
    </row>
    <row r="40" customFormat="false" ht="15" hidden="false" customHeight="false" outlineLevel="0" collapsed="false">
      <c r="A40" s="35" t="s">
        <v>82</v>
      </c>
      <c r="B40" s="36" t="s">
        <v>59</v>
      </c>
      <c r="C40" s="37" t="s">
        <v>28</v>
      </c>
      <c r="D40" s="37" t="s">
        <v>86</v>
      </c>
      <c r="E40" s="38" t="s">
        <v>87</v>
      </c>
      <c r="F40" s="39" t="n">
        <f aca="false">COUNTIF('Open Deals'!$A$2:$A$130,A40)</f>
        <v>1</v>
      </c>
      <c r="G40" s="40" t="n">
        <f aca="false">SUMIF('Open Deals'!$A$2:$A$130,A40,'Open Deals'!$I$2:$I$130)</f>
        <v>51000</v>
      </c>
      <c r="H40" s="37" t="str">
        <f aca="false">INDEX(Settings!$A$11:$A$16,SUMPRODUCT(MAX((COUNTIFS('Open Deals'!$A$2:$A$130,A40,'Open Deals'!$F$2:$F$130,Settings!$A$11:$A$16)&gt;0)*Settings!$B$11:$B$16)))</f>
        <v>IO Sent Out</v>
      </c>
      <c r="I40" s="37" t="s">
        <v>16</v>
      </c>
      <c r="J40" s="37" t="s">
        <v>35</v>
      </c>
      <c r="K40" s="41" t="s">
        <v>85</v>
      </c>
    </row>
    <row r="41" customFormat="false" ht="15" hidden="false" customHeight="false" outlineLevel="0" collapsed="false">
      <c r="A41" s="35" t="s">
        <v>464</v>
      </c>
      <c r="B41" s="36" t="s">
        <v>94</v>
      </c>
      <c r="C41" s="37" t="s">
        <v>38</v>
      </c>
      <c r="D41" s="37" t="s">
        <v>117</v>
      </c>
      <c r="E41" s="38" t="s">
        <v>467</v>
      </c>
      <c r="F41" s="39" t="n">
        <f aca="false">COUNTIF('Open Deals'!$A$2:$A$130,A41)</f>
        <v>1</v>
      </c>
      <c r="G41" s="40" t="n">
        <f aca="false">SUMIF('Open Deals'!$A$2:$A$130,A41,'Open Deals'!$I$2:$I$130)</f>
        <v>51000</v>
      </c>
      <c r="H41" s="37" t="str">
        <f aca="false">INDEX(Settings!$A$11:$A$16,SUMPRODUCT(MAX((COUNTIFS('Open Deals'!$A$2:$A$130,A41,'Open Deals'!$F$2:$F$130,Settings!$A$11:$A$16)&gt;0)*Settings!$B$11:$B$16)))</f>
        <v>Understand Need/Problem</v>
      </c>
      <c r="I41" s="37" t="s">
        <v>18</v>
      </c>
      <c r="J41" s="37" t="s">
        <v>71</v>
      </c>
      <c r="K41" s="41" t="s">
        <v>466</v>
      </c>
    </row>
    <row r="42" customFormat="false" ht="15" hidden="false" customHeight="false" outlineLevel="0" collapsed="false">
      <c r="A42" s="35" t="s">
        <v>88</v>
      </c>
      <c r="B42" s="36" t="s">
        <v>59</v>
      </c>
      <c r="C42" s="37" t="s">
        <v>28</v>
      </c>
      <c r="D42" s="37" t="s">
        <v>73</v>
      </c>
      <c r="E42" s="38" t="s">
        <v>91</v>
      </c>
      <c r="F42" s="39" t="n">
        <f aca="false">COUNTIF('Open Deals'!$A$2:$A$130,A42)</f>
        <v>1</v>
      </c>
      <c r="G42" s="40" t="n">
        <f aca="false">SUMIF('Open Deals'!$A$2:$A$130,A42,'Open Deals'!$I$2:$I$130)</f>
        <v>50000</v>
      </c>
      <c r="H42" s="37" t="str">
        <f aca="false">INDEX(Settings!$A$11:$A$16,SUMPRODUCT(MAX((COUNTIFS('Open Deals'!$A$2:$A$130,A42,'Open Deals'!$F$2:$F$130,Settings!$A$11:$A$16)&gt;0)*Settings!$B$11:$B$16)))</f>
        <v>IO Sent Out</v>
      </c>
      <c r="I42" s="37" t="s">
        <v>14</v>
      </c>
      <c r="J42" s="37" t="s">
        <v>71</v>
      </c>
      <c r="K42" s="41" t="s">
        <v>90</v>
      </c>
    </row>
    <row r="43" customFormat="false" ht="15" hidden="false" customHeight="false" outlineLevel="0" collapsed="false">
      <c r="A43" s="35" t="s">
        <v>370</v>
      </c>
      <c r="B43" s="36" t="s">
        <v>94</v>
      </c>
      <c r="C43" s="37" t="s">
        <v>39</v>
      </c>
      <c r="D43" s="37" t="s">
        <v>373</v>
      </c>
      <c r="E43" s="38" t="s">
        <v>374</v>
      </c>
      <c r="F43" s="39" t="n">
        <f aca="false">COUNTIF('Open Deals'!$A$2:$A$130,A43)</f>
        <v>1</v>
      </c>
      <c r="G43" s="40" t="n">
        <f aca="false">SUMIF('Open Deals'!$A$2:$A$130,A43,'Open Deals'!$I$2:$I$130)</f>
        <v>50000</v>
      </c>
      <c r="H43" s="37" t="str">
        <f aca="false">INDEX(Settings!$A$11:$A$16,SUMPRODUCT(MAX((COUNTIFS('Open Deals'!$A$2:$A$130,A43,'Open Deals'!$F$2:$F$130,Settings!$A$11:$A$16)&gt;0)*Settings!$B$11:$B$16)))</f>
        <v>Create Proposal</v>
      </c>
      <c r="I43" s="37" t="s">
        <v>18</v>
      </c>
      <c r="J43" s="37" t="s">
        <v>71</v>
      </c>
      <c r="K43" s="41" t="s">
        <v>372</v>
      </c>
    </row>
    <row r="44" customFormat="false" ht="15" hidden="false" customHeight="false" outlineLevel="0" collapsed="false">
      <c r="A44" s="35" t="s">
        <v>468</v>
      </c>
      <c r="B44" s="36" t="s">
        <v>59</v>
      </c>
      <c r="C44" s="37" t="s">
        <v>28</v>
      </c>
      <c r="D44" s="37" t="s">
        <v>73</v>
      </c>
      <c r="E44" s="38" t="s">
        <v>471</v>
      </c>
      <c r="F44" s="39" t="n">
        <f aca="false">COUNTIF('Open Deals'!$A$2:$A$130,A44)</f>
        <v>1</v>
      </c>
      <c r="G44" s="40" t="n">
        <f aca="false">SUMIF('Open Deals'!$A$2:$A$130,A44,'Open Deals'!$I$2:$I$130)</f>
        <v>50000</v>
      </c>
      <c r="H44" s="37" t="str">
        <f aca="false">INDEX(Settings!$A$11:$A$16,SUMPRODUCT(MAX((COUNTIFS('Open Deals'!$A$2:$A$130,A44,'Open Deals'!$F$2:$F$130,Settings!$A$11:$A$16)&gt;0)*Settings!$B$11:$B$16)))</f>
        <v>Understand Need/Problem</v>
      </c>
      <c r="I44" s="37" t="s">
        <v>16</v>
      </c>
      <c r="J44" s="37" t="s">
        <v>35</v>
      </c>
      <c r="K44" s="41" t="s">
        <v>470</v>
      </c>
    </row>
    <row r="45" customFormat="false" ht="15" hidden="false" customHeight="false" outlineLevel="0" collapsed="false">
      <c r="A45" s="35" t="s">
        <v>129</v>
      </c>
      <c r="B45" s="36" t="s">
        <v>94</v>
      </c>
      <c r="C45" s="37" t="s">
        <v>40</v>
      </c>
      <c r="D45" s="37" t="s">
        <v>132</v>
      </c>
      <c r="E45" s="38" t="s">
        <v>133</v>
      </c>
      <c r="F45" s="39" t="n">
        <f aca="false">COUNTIF('Open Deals'!$A$2:$A$130,A45)</f>
        <v>1</v>
      </c>
      <c r="G45" s="40" t="n">
        <f aca="false">SUMIF('Open Deals'!$A$2:$A$130,A45,'Open Deals'!$I$2:$I$130)</f>
        <v>45000</v>
      </c>
      <c r="H45" s="37" t="str">
        <f aca="false">INDEX(Settings!$A$11:$A$16,SUMPRODUCT(MAX((COUNTIFS('Open Deals'!$A$2:$A$130,A45,'Open Deals'!$F$2:$F$130,Settings!$A$11:$A$16)&gt;0)*Settings!$B$11:$B$16)))</f>
        <v>Negotiation</v>
      </c>
      <c r="I45" s="37" t="s">
        <v>18</v>
      </c>
      <c r="J45" s="37" t="s">
        <v>71</v>
      </c>
      <c r="K45" s="41" t="s">
        <v>131</v>
      </c>
    </row>
    <row r="46" customFormat="false" ht="15" hidden="false" customHeight="false" outlineLevel="0" collapsed="false">
      <c r="A46" s="35" t="s">
        <v>92</v>
      </c>
      <c r="B46" s="36" t="s">
        <v>94</v>
      </c>
      <c r="C46" s="37" t="s">
        <v>28</v>
      </c>
      <c r="D46" s="37" t="s">
        <v>73</v>
      </c>
      <c r="E46" s="37"/>
      <c r="F46" s="39" t="n">
        <f aca="false">COUNTIF('Open Deals'!$A$2:$A$130,A46)</f>
        <v>1</v>
      </c>
      <c r="G46" s="40" t="n">
        <f aca="false">SUMIF('Open Deals'!$A$2:$A$130,A46,'Open Deals'!$I$2:$I$130)</f>
        <v>44400</v>
      </c>
      <c r="H46" s="37" t="str">
        <f aca="false">INDEX(Settings!$A$11:$A$16,SUMPRODUCT(MAX((COUNTIFS('Open Deals'!$A$2:$A$130,A46,'Open Deals'!$F$2:$F$130,Settings!$A$11:$A$16)&gt;0)*Settings!$B$11:$B$16)))</f>
        <v>IO Sent Out</v>
      </c>
      <c r="I46" s="37" t="s">
        <v>14</v>
      </c>
      <c r="J46" s="37" t="s">
        <v>71</v>
      </c>
      <c r="K46" s="41" t="s">
        <v>95</v>
      </c>
    </row>
    <row r="47" customFormat="false" ht="15" hidden="false" customHeight="false" outlineLevel="0" collapsed="false">
      <c r="A47" s="35" t="s">
        <v>256</v>
      </c>
      <c r="B47" s="36" t="s">
        <v>59</v>
      </c>
      <c r="C47" s="37" t="s">
        <v>36</v>
      </c>
      <c r="D47" s="37" t="s">
        <v>259</v>
      </c>
      <c r="E47" s="38" t="s">
        <v>260</v>
      </c>
      <c r="F47" s="39" t="n">
        <f aca="false">COUNTIF('Open Deals'!$A$2:$A$130,A47)</f>
        <v>1</v>
      </c>
      <c r="G47" s="40" t="n">
        <f aca="false">SUMIF('Open Deals'!$A$2:$A$130,A47,'Open Deals'!$I$2:$I$130)</f>
        <v>44400</v>
      </c>
      <c r="H47" s="37" t="str">
        <f aca="false">INDEX(Settings!$A$11:$A$16,SUMPRODUCT(MAX((COUNTIFS('Open Deals'!$A$2:$A$130,A47,'Open Deals'!$F$2:$F$130,Settings!$A$11:$A$16)&gt;0)*Settings!$B$11:$B$16)))</f>
        <v>Feedback</v>
      </c>
      <c r="I47" s="37" t="s">
        <v>16</v>
      </c>
      <c r="J47" s="37" t="s">
        <v>31</v>
      </c>
      <c r="K47" s="41" t="s">
        <v>258</v>
      </c>
    </row>
    <row r="48" customFormat="false" ht="15" hidden="false" customHeight="false" outlineLevel="0" collapsed="false">
      <c r="A48" s="35" t="s">
        <v>261</v>
      </c>
      <c r="B48" s="36" t="s">
        <v>94</v>
      </c>
      <c r="C48" s="37" t="s">
        <v>38</v>
      </c>
      <c r="D48" s="37" t="s">
        <v>117</v>
      </c>
      <c r="E48" s="38" t="s">
        <v>264</v>
      </c>
      <c r="F48" s="39" t="n">
        <f aca="false">COUNTIF('Open Deals'!$A$2:$A$130,A48)</f>
        <v>1</v>
      </c>
      <c r="G48" s="40" t="n">
        <f aca="false">SUMIF('Open Deals'!$A$2:$A$130,A48,'Open Deals'!$I$2:$I$130)</f>
        <v>44400</v>
      </c>
      <c r="H48" s="37" t="str">
        <f aca="false">INDEX(Settings!$A$11:$A$16,SUMPRODUCT(MAX((COUNTIFS('Open Deals'!$A$2:$A$130,A48,'Open Deals'!$F$2:$F$130,Settings!$A$11:$A$16)&gt;0)*Settings!$B$11:$B$16)))</f>
        <v>Feedback</v>
      </c>
      <c r="I48" s="37" t="s">
        <v>18</v>
      </c>
      <c r="J48" s="37" t="s">
        <v>71</v>
      </c>
      <c r="K48" s="41" t="s">
        <v>263</v>
      </c>
    </row>
    <row r="49" customFormat="false" ht="15" hidden="false" customHeight="false" outlineLevel="0" collapsed="false">
      <c r="A49" s="35" t="s">
        <v>327</v>
      </c>
      <c r="B49" s="36" t="s">
        <v>59</v>
      </c>
      <c r="C49" s="37" t="s">
        <v>30</v>
      </c>
      <c r="D49" s="37" t="s">
        <v>330</v>
      </c>
      <c r="E49" s="38" t="s">
        <v>331</v>
      </c>
      <c r="F49" s="39" t="n">
        <f aca="false">COUNTIF('Open Deals'!$A$2:$A$130,A49)</f>
        <v>1</v>
      </c>
      <c r="G49" s="40" t="n">
        <f aca="false">SUMIF('Open Deals'!$A$2:$A$130,A49,'Open Deals'!$I$2:$I$130)</f>
        <v>44400</v>
      </c>
      <c r="H49" s="37" t="str">
        <f aca="false">INDEX(Settings!$A$11:$A$16,SUMPRODUCT(MAX((COUNTIFS('Open Deals'!$A$2:$A$130,A49,'Open Deals'!$F$2:$F$130,Settings!$A$11:$A$16)&gt;0)*Settings!$B$11:$B$16)))</f>
        <v>Present Proposal</v>
      </c>
      <c r="I49" s="37" t="s">
        <v>14</v>
      </c>
      <c r="J49" s="37" t="s">
        <v>71</v>
      </c>
      <c r="K49" s="41" t="s">
        <v>329</v>
      </c>
    </row>
    <row r="50" customFormat="false" ht="15" hidden="false" customHeight="false" outlineLevel="0" collapsed="false">
      <c r="A50" s="35" t="s">
        <v>379</v>
      </c>
      <c r="B50" s="36" t="s">
        <v>94</v>
      </c>
      <c r="C50" s="37"/>
      <c r="D50" s="37"/>
      <c r="E50" s="38" t="s">
        <v>382</v>
      </c>
      <c r="F50" s="39" t="n">
        <f aca="false">COUNTIF('Open Deals'!$A$2:$A$130,A50)</f>
        <v>1</v>
      </c>
      <c r="G50" s="40" t="n">
        <f aca="false">SUMIF('Open Deals'!$A$2:$A$130,A50,'Open Deals'!$I$2:$I$130)</f>
        <v>44400</v>
      </c>
      <c r="H50" s="37" t="str">
        <f aca="false">INDEX(Settings!$A$11:$A$16,SUMPRODUCT(MAX((COUNTIFS('Open Deals'!$A$2:$A$130,A50,'Open Deals'!$F$2:$F$130,Settings!$A$11:$A$16)&gt;0)*Settings!$B$11:$B$16)))</f>
        <v>Create Proposal</v>
      </c>
      <c r="I50" s="37" t="s">
        <v>18</v>
      </c>
      <c r="J50" s="37" t="s">
        <v>71</v>
      </c>
      <c r="K50" s="41" t="s">
        <v>381</v>
      </c>
    </row>
    <row r="51" customFormat="false" ht="15" hidden="false" customHeight="false" outlineLevel="0" collapsed="false">
      <c r="A51" s="35" t="s">
        <v>472</v>
      </c>
      <c r="B51" s="36" t="s">
        <v>94</v>
      </c>
      <c r="C51" s="37" t="s">
        <v>36</v>
      </c>
      <c r="D51" s="37" t="s">
        <v>475</v>
      </c>
      <c r="E51" s="38" t="s">
        <v>476</v>
      </c>
      <c r="F51" s="39" t="n">
        <f aca="false">COUNTIF('Open Deals'!$A$2:$A$130,A51)</f>
        <v>1</v>
      </c>
      <c r="G51" s="40" t="n">
        <f aca="false">SUMIF('Open Deals'!$A$2:$A$130,A51,'Open Deals'!$I$2:$I$130)</f>
        <v>44400</v>
      </c>
      <c r="H51" s="37" t="str">
        <f aca="false">INDEX(Settings!$A$11:$A$16,SUMPRODUCT(MAX((COUNTIFS('Open Deals'!$A$2:$A$130,A51,'Open Deals'!$F$2:$F$130,Settings!$A$11:$A$16)&gt;0)*Settings!$B$11:$B$16)))</f>
        <v>Understand Need/Problem</v>
      </c>
      <c r="I51" s="37" t="s">
        <v>14</v>
      </c>
      <c r="J51" s="37" t="s">
        <v>71</v>
      </c>
      <c r="K51" s="41" t="s">
        <v>474</v>
      </c>
    </row>
    <row r="52" customFormat="false" ht="15" hidden="false" customHeight="false" outlineLevel="0" collapsed="false">
      <c r="A52" s="35" t="s">
        <v>383</v>
      </c>
      <c r="B52" s="36" t="s">
        <v>59</v>
      </c>
      <c r="C52" s="37" t="s">
        <v>32</v>
      </c>
      <c r="D52" s="37" t="s">
        <v>385</v>
      </c>
      <c r="E52" s="38" t="s">
        <v>386</v>
      </c>
      <c r="F52" s="39" t="n">
        <f aca="false">COUNTIF('Open Deals'!$A$2:$A$130,A52)</f>
        <v>1</v>
      </c>
      <c r="G52" s="40" t="n">
        <f aca="false">SUMIF('Open Deals'!$A$2:$A$130,A52,'Open Deals'!$I$2:$I$130)</f>
        <v>38250</v>
      </c>
      <c r="H52" s="37" t="str">
        <f aca="false">INDEX(Settings!$A$11:$A$16,SUMPRODUCT(MAX((COUNTIFS('Open Deals'!$A$2:$A$130,A52,'Open Deals'!$F$2:$F$130,Settings!$A$11:$A$16)&gt;0)*Settings!$B$11:$B$16)))</f>
        <v>Create Proposal</v>
      </c>
      <c r="I52" s="37" t="s">
        <v>16</v>
      </c>
      <c r="J52" s="37" t="s">
        <v>71</v>
      </c>
      <c r="K52" s="41" t="s">
        <v>384</v>
      </c>
    </row>
    <row r="53" customFormat="false" ht="15" hidden="false" customHeight="false" outlineLevel="0" collapsed="false">
      <c r="A53" s="35" t="s">
        <v>139</v>
      </c>
      <c r="B53" s="36" t="s">
        <v>94</v>
      </c>
      <c r="C53" s="37"/>
      <c r="D53" s="37"/>
      <c r="E53" s="37"/>
      <c r="F53" s="39" t="n">
        <f aca="false">COUNTIF('Open Deals'!$A$2:$A$130,A53)</f>
        <v>1</v>
      </c>
      <c r="G53" s="40" t="n">
        <f aca="false">SUMIF('Open Deals'!$A$2:$A$130,A53,'Open Deals'!$I$2:$I$130)</f>
        <v>37000</v>
      </c>
      <c r="H53" s="37" t="str">
        <f aca="false">INDEX(Settings!$A$11:$A$16,SUMPRODUCT(MAX((COUNTIFS('Open Deals'!$A$2:$A$130,A53,'Open Deals'!$F$2:$F$130,Settings!$A$11:$A$16)&gt;0)*Settings!$B$11:$B$16)))</f>
        <v>Negotiation</v>
      </c>
      <c r="I53" s="37" t="s">
        <v>18</v>
      </c>
      <c r="J53" s="37" t="s">
        <v>71</v>
      </c>
      <c r="K53" s="41" t="s">
        <v>141</v>
      </c>
    </row>
    <row r="54" customFormat="false" ht="15" hidden="false" customHeight="false" outlineLevel="0" collapsed="false">
      <c r="A54" s="35" t="s">
        <v>142</v>
      </c>
      <c r="B54" s="36" t="s">
        <v>94</v>
      </c>
      <c r="C54" s="37" t="s">
        <v>28</v>
      </c>
      <c r="D54" s="37" t="s">
        <v>73</v>
      </c>
      <c r="E54" s="38" t="s">
        <v>145</v>
      </c>
      <c r="F54" s="39" t="n">
        <f aca="false">COUNTIF('Open Deals'!$A$2:$A$130,A54)</f>
        <v>1</v>
      </c>
      <c r="G54" s="40" t="n">
        <f aca="false">SUMIF('Open Deals'!$A$2:$A$130,A54,'Open Deals'!$I$2:$I$130)</f>
        <v>37000</v>
      </c>
      <c r="H54" s="37" t="str">
        <f aca="false">INDEX(Settings!$A$11:$A$16,SUMPRODUCT(MAX((COUNTIFS('Open Deals'!$A$2:$A$130,A54,'Open Deals'!$F$2:$F$130,Settings!$A$11:$A$16)&gt;0)*Settings!$B$11:$B$16)))</f>
        <v>Negotiation</v>
      </c>
      <c r="I54" s="37" t="s">
        <v>14</v>
      </c>
      <c r="J54" s="37" t="s">
        <v>71</v>
      </c>
      <c r="K54" s="41" t="s">
        <v>144</v>
      </c>
    </row>
    <row r="55" customFormat="false" ht="15" hidden="false" customHeight="false" outlineLevel="0" collapsed="false">
      <c r="A55" s="35" t="s">
        <v>265</v>
      </c>
      <c r="B55" s="36" t="s">
        <v>94</v>
      </c>
      <c r="C55" s="37" t="s">
        <v>28</v>
      </c>
      <c r="D55" s="37" t="s">
        <v>268</v>
      </c>
      <c r="E55" s="38" t="s">
        <v>269</v>
      </c>
      <c r="F55" s="39" t="n">
        <f aca="false">COUNTIF('Open Deals'!$A$2:$A$130,A55)</f>
        <v>1</v>
      </c>
      <c r="G55" s="40" t="n">
        <f aca="false">SUMIF('Open Deals'!$A$2:$A$130,A55,'Open Deals'!$I$2:$I$130)</f>
        <v>37000</v>
      </c>
      <c r="H55" s="37" t="str">
        <f aca="false">INDEX(Settings!$A$11:$A$16,SUMPRODUCT(MAX((COUNTIFS('Open Deals'!$A$2:$A$130,A55,'Open Deals'!$F$2:$F$130,Settings!$A$11:$A$16)&gt;0)*Settings!$B$11:$B$16)))</f>
        <v>Feedback</v>
      </c>
      <c r="I55" s="37" t="s">
        <v>14</v>
      </c>
      <c r="J55" s="37" t="s">
        <v>71</v>
      </c>
      <c r="K55" s="41" t="s">
        <v>267</v>
      </c>
    </row>
    <row r="56" customFormat="false" ht="15" hidden="false" customHeight="false" outlineLevel="0" collapsed="false">
      <c r="A56" s="35" t="s">
        <v>336</v>
      </c>
      <c r="B56" s="36" t="s">
        <v>59</v>
      </c>
      <c r="C56" s="37" t="s">
        <v>39</v>
      </c>
      <c r="D56" s="37" t="s">
        <v>339</v>
      </c>
      <c r="E56" s="38" t="s">
        <v>340</v>
      </c>
      <c r="F56" s="39" t="n">
        <f aca="false">COUNTIF('Open Deals'!$A$2:$A$130,A56)</f>
        <v>1</v>
      </c>
      <c r="G56" s="40" t="n">
        <f aca="false">SUMIF('Open Deals'!$A$2:$A$130,A56,'Open Deals'!$I$2:$I$130)</f>
        <v>37000</v>
      </c>
      <c r="H56" s="37" t="str">
        <f aca="false">INDEX(Settings!$A$11:$A$16,SUMPRODUCT(MAX((COUNTIFS('Open Deals'!$A$2:$A$130,A56,'Open Deals'!$F$2:$F$130,Settings!$A$11:$A$16)&gt;0)*Settings!$B$11:$B$16)))</f>
        <v>Present Proposal</v>
      </c>
      <c r="I56" s="37" t="s">
        <v>16</v>
      </c>
      <c r="J56" s="37" t="s">
        <v>33</v>
      </c>
      <c r="K56" s="41" t="s">
        <v>338</v>
      </c>
    </row>
    <row r="57" customFormat="false" ht="15" hidden="false" customHeight="false" outlineLevel="0" collapsed="false">
      <c r="A57" s="35" t="s">
        <v>341</v>
      </c>
      <c r="B57" s="36" t="s">
        <v>94</v>
      </c>
      <c r="C57" s="37" t="s">
        <v>28</v>
      </c>
      <c r="D57" s="37" t="s">
        <v>344</v>
      </c>
      <c r="E57" s="38" t="s">
        <v>345</v>
      </c>
      <c r="F57" s="39" t="n">
        <f aca="false">COUNTIF('Open Deals'!$A$2:$A$130,A57)</f>
        <v>1</v>
      </c>
      <c r="G57" s="40" t="n">
        <f aca="false">SUMIF('Open Deals'!$A$2:$A$130,A57,'Open Deals'!$I$2:$I$130)</f>
        <v>37000</v>
      </c>
      <c r="H57" s="37" t="str">
        <f aca="false">INDEX(Settings!$A$11:$A$16,SUMPRODUCT(MAX((COUNTIFS('Open Deals'!$A$2:$A$130,A57,'Open Deals'!$F$2:$F$130,Settings!$A$11:$A$16)&gt;0)*Settings!$B$11:$B$16)))</f>
        <v>Present Proposal</v>
      </c>
      <c r="I57" s="37" t="s">
        <v>14</v>
      </c>
      <c r="J57" s="37" t="s">
        <v>71</v>
      </c>
      <c r="K57" s="41" t="s">
        <v>343</v>
      </c>
    </row>
    <row r="58" customFormat="false" ht="15" hidden="false" customHeight="false" outlineLevel="0" collapsed="false">
      <c r="A58" s="35" t="s">
        <v>387</v>
      </c>
      <c r="B58" s="36" t="s">
        <v>94</v>
      </c>
      <c r="C58" s="37" t="s">
        <v>28</v>
      </c>
      <c r="D58" s="37" t="s">
        <v>389</v>
      </c>
      <c r="E58" s="38" t="s">
        <v>390</v>
      </c>
      <c r="F58" s="39" t="n">
        <f aca="false">COUNTIF('Open Deals'!$A$2:$A$130,A58)</f>
        <v>1</v>
      </c>
      <c r="G58" s="40" t="n">
        <f aca="false">SUMIF('Open Deals'!$A$2:$A$130,A58,'Open Deals'!$I$2:$I$130)</f>
        <v>37000</v>
      </c>
      <c r="H58" s="37" t="str">
        <f aca="false">INDEX(Settings!$A$11:$A$16,SUMPRODUCT(MAX((COUNTIFS('Open Deals'!$A$2:$A$130,A58,'Open Deals'!$F$2:$F$130,Settings!$A$11:$A$16)&gt;0)*Settings!$B$11:$B$16)))</f>
        <v>Create Proposal</v>
      </c>
      <c r="I58" s="37" t="s">
        <v>16</v>
      </c>
      <c r="J58" s="37" t="s">
        <v>71</v>
      </c>
      <c r="K58" s="41" t="s">
        <v>388</v>
      </c>
    </row>
    <row r="59" customFormat="false" ht="15" hidden="false" customHeight="false" outlineLevel="0" collapsed="false">
      <c r="A59" s="35" t="s">
        <v>391</v>
      </c>
      <c r="B59" s="36" t="s">
        <v>59</v>
      </c>
      <c r="C59" s="37" t="s">
        <v>30</v>
      </c>
      <c r="D59" s="37" t="s">
        <v>394</v>
      </c>
      <c r="E59" s="38" t="s">
        <v>395</v>
      </c>
      <c r="F59" s="39" t="n">
        <f aca="false">COUNTIF('Open Deals'!$A$2:$A$130,A59)</f>
        <v>1</v>
      </c>
      <c r="G59" s="40" t="n">
        <f aca="false">SUMIF('Open Deals'!$A$2:$A$130,A59,'Open Deals'!$I$2:$I$130)</f>
        <v>37000</v>
      </c>
      <c r="H59" s="37" t="str">
        <f aca="false">INDEX(Settings!$A$11:$A$16,SUMPRODUCT(MAX((COUNTIFS('Open Deals'!$A$2:$A$130,A59,'Open Deals'!$F$2:$F$130,Settings!$A$11:$A$16)&gt;0)*Settings!$B$11:$B$16)))</f>
        <v>Create Proposal</v>
      </c>
      <c r="I59" s="37" t="s">
        <v>16</v>
      </c>
      <c r="J59" s="37" t="s">
        <v>31</v>
      </c>
      <c r="K59" s="41" t="s">
        <v>393</v>
      </c>
    </row>
    <row r="60" customFormat="false" ht="15" hidden="false" customHeight="false" outlineLevel="0" collapsed="false">
      <c r="A60" s="35" t="s">
        <v>478</v>
      </c>
      <c r="B60" s="36" t="s">
        <v>59</v>
      </c>
      <c r="C60" s="37" t="s">
        <v>30</v>
      </c>
      <c r="D60" s="37" t="s">
        <v>481</v>
      </c>
      <c r="E60" s="38" t="s">
        <v>482</v>
      </c>
      <c r="F60" s="39" t="n">
        <f aca="false">COUNTIF('Open Deals'!$A$2:$A$130,A60)</f>
        <v>1</v>
      </c>
      <c r="G60" s="40" t="n">
        <f aca="false">SUMIF('Open Deals'!$A$2:$A$130,A60,'Open Deals'!$I$2:$I$130)</f>
        <v>37000</v>
      </c>
      <c r="H60" s="37" t="str">
        <f aca="false">INDEX(Settings!$A$11:$A$16,SUMPRODUCT(MAX((COUNTIFS('Open Deals'!$A$2:$A$130,A60,'Open Deals'!$F$2:$F$130,Settings!$A$11:$A$16)&gt;0)*Settings!$B$11:$B$16)))</f>
        <v>Understand Need/Problem</v>
      </c>
      <c r="I60" s="37" t="s">
        <v>18</v>
      </c>
      <c r="J60" s="37" t="s">
        <v>71</v>
      </c>
      <c r="K60" s="41" t="s">
        <v>480</v>
      </c>
    </row>
    <row r="61" customFormat="false" ht="15" hidden="false" customHeight="false" outlineLevel="0" collapsed="false">
      <c r="A61" s="35" t="s">
        <v>484</v>
      </c>
      <c r="B61" s="36" t="s">
        <v>59</v>
      </c>
      <c r="C61" s="37" t="s">
        <v>43</v>
      </c>
      <c r="D61" s="37" t="s">
        <v>487</v>
      </c>
      <c r="E61" s="38" t="s">
        <v>488</v>
      </c>
      <c r="F61" s="39" t="n">
        <f aca="false">COUNTIF('Open Deals'!$A$2:$A$130,A61)</f>
        <v>1</v>
      </c>
      <c r="G61" s="40" t="n">
        <f aca="false">SUMIF('Open Deals'!$A$2:$A$130,A61,'Open Deals'!$I$2:$I$130)</f>
        <v>37000</v>
      </c>
      <c r="H61" s="37" t="str">
        <f aca="false">INDEX(Settings!$A$11:$A$16,SUMPRODUCT(MAX((COUNTIFS('Open Deals'!$A$2:$A$130,A61,'Open Deals'!$F$2:$F$130,Settings!$A$11:$A$16)&gt;0)*Settings!$B$11:$B$16)))</f>
        <v>Understand Need/Problem</v>
      </c>
      <c r="I61" s="37" t="s">
        <v>14</v>
      </c>
      <c r="J61" s="37" t="s">
        <v>27</v>
      </c>
      <c r="K61" s="41" t="s">
        <v>486</v>
      </c>
    </row>
    <row r="62" customFormat="false" ht="15" hidden="false" customHeight="false" outlineLevel="0" collapsed="false">
      <c r="A62" s="35" t="s">
        <v>490</v>
      </c>
      <c r="B62" s="36" t="s">
        <v>94</v>
      </c>
      <c r="C62" s="37" t="s">
        <v>28</v>
      </c>
      <c r="D62" s="37" t="s">
        <v>493</v>
      </c>
      <c r="E62" s="38" t="s">
        <v>494</v>
      </c>
      <c r="F62" s="39" t="n">
        <f aca="false">COUNTIF('Open Deals'!$A$2:$A$130,A62)</f>
        <v>1</v>
      </c>
      <c r="G62" s="40" t="n">
        <f aca="false">SUMIF('Open Deals'!$A$2:$A$130,A62,'Open Deals'!$I$2:$I$130)</f>
        <v>37000</v>
      </c>
      <c r="H62" s="37" t="str">
        <f aca="false">INDEX(Settings!$A$11:$A$16,SUMPRODUCT(MAX((COUNTIFS('Open Deals'!$A$2:$A$130,A62,'Open Deals'!$F$2:$F$130,Settings!$A$11:$A$16)&gt;0)*Settings!$B$11:$B$16)))</f>
        <v>Understand Need/Problem</v>
      </c>
      <c r="I62" s="37" t="s">
        <v>14</v>
      </c>
      <c r="J62" s="37" t="s">
        <v>71</v>
      </c>
      <c r="K62" s="41" t="s">
        <v>492</v>
      </c>
    </row>
    <row r="63" customFormat="false" ht="15" hidden="false" customHeight="false" outlineLevel="0" collapsed="false">
      <c r="A63" s="35" t="s">
        <v>96</v>
      </c>
      <c r="B63" s="36" t="s">
        <v>59</v>
      </c>
      <c r="C63" s="37" t="s">
        <v>32</v>
      </c>
      <c r="D63" s="37" t="s">
        <v>99</v>
      </c>
      <c r="E63" s="38" t="s">
        <v>100</v>
      </c>
      <c r="F63" s="39" t="n">
        <f aca="false">COUNTIF('Open Deals'!$A$2:$A$130,A63)</f>
        <v>2</v>
      </c>
      <c r="G63" s="40" t="n">
        <f aca="false">SUMIF('Open Deals'!$A$2:$A$130,A63,'Open Deals'!$I$2:$I$130)</f>
        <v>33337</v>
      </c>
      <c r="H63" s="37" t="str">
        <f aca="false">INDEX(Settings!$A$11:$A$16,SUMPRODUCT(MAX((COUNTIFS('Open Deals'!$A$2:$A$130,A63,'Open Deals'!$F$2:$F$130,Settings!$A$11:$A$16)&gt;0)*Settings!$B$11:$B$16)))</f>
        <v>IO Sent Out</v>
      </c>
      <c r="I63" s="37" t="s">
        <v>16</v>
      </c>
      <c r="J63" s="37" t="s">
        <v>31</v>
      </c>
      <c r="K63" s="41" t="s">
        <v>98</v>
      </c>
    </row>
    <row r="64" customFormat="false" ht="15" hidden="false" customHeight="false" outlineLevel="0" collapsed="false">
      <c r="A64" s="35" t="s">
        <v>153</v>
      </c>
      <c r="B64" s="36" t="s">
        <v>94</v>
      </c>
      <c r="C64" s="37" t="s">
        <v>40</v>
      </c>
      <c r="D64" s="37" t="s">
        <v>156</v>
      </c>
      <c r="E64" s="38" t="s">
        <v>157</v>
      </c>
      <c r="F64" s="39" t="n">
        <f aca="false">COUNTIF('Open Deals'!$A$2:$A$130,A64)</f>
        <v>1</v>
      </c>
      <c r="G64" s="40" t="n">
        <f aca="false">SUMIF('Open Deals'!$A$2:$A$130,A64,'Open Deals'!$I$2:$I$130)</f>
        <v>33300</v>
      </c>
      <c r="H64" s="37" t="str">
        <f aca="false">INDEX(Settings!$A$11:$A$16,SUMPRODUCT(MAX((COUNTIFS('Open Deals'!$A$2:$A$130,A64,'Open Deals'!$F$2:$F$130,Settings!$A$11:$A$16)&gt;0)*Settings!$B$11:$B$16)))</f>
        <v>Negotiation</v>
      </c>
      <c r="I64" s="37" t="s">
        <v>18</v>
      </c>
      <c r="J64" s="37" t="s">
        <v>71</v>
      </c>
      <c r="K64" s="41" t="s">
        <v>155</v>
      </c>
    </row>
    <row r="65" customFormat="false" ht="15" hidden="false" customHeight="false" outlineLevel="0" collapsed="false">
      <c r="A65" s="35" t="s">
        <v>396</v>
      </c>
      <c r="B65" s="36" t="s">
        <v>94</v>
      </c>
      <c r="C65" s="37" t="s">
        <v>41</v>
      </c>
      <c r="D65" s="37" t="s">
        <v>398</v>
      </c>
      <c r="E65" s="38" t="s">
        <v>399</v>
      </c>
      <c r="F65" s="39" t="n">
        <f aca="false">COUNTIF('Open Deals'!$A$2:$A$130,A65)</f>
        <v>1</v>
      </c>
      <c r="G65" s="40" t="n">
        <f aca="false">SUMIF('Open Deals'!$A$2:$A$130,A65,'Open Deals'!$I$2:$I$130)</f>
        <v>30000</v>
      </c>
      <c r="H65" s="37" t="str">
        <f aca="false">INDEX(Settings!$A$11:$A$16,SUMPRODUCT(MAX((COUNTIFS('Open Deals'!$A$2:$A$130,A65,'Open Deals'!$F$2:$F$130,Settings!$A$11:$A$16)&gt;0)*Settings!$B$11:$B$16)))</f>
        <v>Create Proposal</v>
      </c>
      <c r="I65" s="37" t="s">
        <v>16</v>
      </c>
      <c r="J65" s="37" t="s">
        <v>71</v>
      </c>
      <c r="K65" s="41" t="s">
        <v>397</v>
      </c>
    </row>
    <row r="66" customFormat="false" ht="15" hidden="false" customHeight="false" outlineLevel="0" collapsed="false">
      <c r="A66" s="35" t="s">
        <v>495</v>
      </c>
      <c r="B66" s="36" t="s">
        <v>94</v>
      </c>
      <c r="C66" s="37"/>
      <c r="D66" s="37"/>
      <c r="E66" s="37"/>
      <c r="F66" s="39" t="n">
        <f aca="false">COUNTIF('Open Deals'!$A$2:$A$130,A66)</f>
        <v>1</v>
      </c>
      <c r="G66" s="40" t="n">
        <f aca="false">SUMIF('Open Deals'!$A$2:$A$130,A66,'Open Deals'!$I$2:$I$130)</f>
        <v>30000</v>
      </c>
      <c r="H66" s="37" t="str">
        <f aca="false">INDEX(Settings!$A$11:$A$16,SUMPRODUCT(MAX((COUNTIFS('Open Deals'!$A$2:$A$130,A66,'Open Deals'!$F$2:$F$130,Settings!$A$11:$A$16)&gt;0)*Settings!$B$11:$B$16)))</f>
        <v>Understand Need/Problem</v>
      </c>
      <c r="I66" s="37" t="s">
        <v>18</v>
      </c>
      <c r="J66" s="37" t="s">
        <v>71</v>
      </c>
      <c r="K66" s="41" t="s">
        <v>497</v>
      </c>
    </row>
    <row r="67" customFormat="false" ht="15" hidden="false" customHeight="false" outlineLevel="0" collapsed="false">
      <c r="A67" s="35" t="s">
        <v>498</v>
      </c>
      <c r="B67" s="36" t="s">
        <v>94</v>
      </c>
      <c r="C67" s="37" t="s">
        <v>42</v>
      </c>
      <c r="D67" s="37" t="s">
        <v>501</v>
      </c>
      <c r="E67" s="38" t="s">
        <v>502</v>
      </c>
      <c r="F67" s="39" t="n">
        <f aca="false">COUNTIF('Open Deals'!$A$2:$A$130,A67)</f>
        <v>1</v>
      </c>
      <c r="G67" s="40" t="n">
        <f aca="false">SUMIF('Open Deals'!$A$2:$A$130,A67,'Open Deals'!$I$2:$I$130)</f>
        <v>30000</v>
      </c>
      <c r="H67" s="37" t="str">
        <f aca="false">INDEX(Settings!$A$11:$A$16,SUMPRODUCT(MAX((COUNTIFS('Open Deals'!$A$2:$A$130,A67,'Open Deals'!$F$2:$F$130,Settings!$A$11:$A$16)&gt;0)*Settings!$B$11:$B$16)))</f>
        <v>Understand Need/Problem</v>
      </c>
      <c r="I67" s="37" t="s">
        <v>16</v>
      </c>
      <c r="J67" s="37" t="s">
        <v>71</v>
      </c>
      <c r="K67" s="41" t="s">
        <v>500</v>
      </c>
    </row>
    <row r="68" customFormat="false" ht="15" hidden="false" customHeight="false" outlineLevel="0" collapsed="false">
      <c r="A68" s="35" t="s">
        <v>503</v>
      </c>
      <c r="B68" s="36" t="s">
        <v>94</v>
      </c>
      <c r="C68" s="37" t="s">
        <v>28</v>
      </c>
      <c r="D68" s="37" t="s">
        <v>320</v>
      </c>
      <c r="E68" s="38" t="s">
        <v>505</v>
      </c>
      <c r="F68" s="39" t="n">
        <f aca="false">COUNTIF('Open Deals'!$A$2:$A$130,A68)</f>
        <v>1</v>
      </c>
      <c r="G68" s="40" t="n">
        <f aca="false">SUMIF('Open Deals'!$A$2:$A$130,A68,'Open Deals'!$I$2:$I$130)</f>
        <v>30000</v>
      </c>
      <c r="H68" s="37" t="str">
        <f aca="false">INDEX(Settings!$A$11:$A$16,SUMPRODUCT(MAX((COUNTIFS('Open Deals'!$A$2:$A$130,A68,'Open Deals'!$F$2:$F$130,Settings!$A$11:$A$16)&gt;0)*Settings!$B$11:$B$16)))</f>
        <v>Understand Need/Problem</v>
      </c>
      <c r="I68" s="37" t="s">
        <v>16</v>
      </c>
      <c r="J68" s="37" t="s">
        <v>71</v>
      </c>
      <c r="K68" s="41" t="s">
        <v>504</v>
      </c>
    </row>
    <row r="69" customFormat="false" ht="15" hidden="false" customHeight="false" outlineLevel="0" collapsed="false">
      <c r="A69" s="35" t="s">
        <v>158</v>
      </c>
      <c r="B69" s="36" t="s">
        <v>94</v>
      </c>
      <c r="C69" s="37" t="s">
        <v>28</v>
      </c>
      <c r="D69" s="37" t="s">
        <v>161</v>
      </c>
      <c r="E69" s="38" t="s">
        <v>162</v>
      </c>
      <c r="F69" s="39" t="n">
        <f aca="false">COUNTIF('Open Deals'!$A$2:$A$130,A69)</f>
        <v>1</v>
      </c>
      <c r="G69" s="40" t="n">
        <f aca="false">SUMIF('Open Deals'!$A$2:$A$130,A69,'Open Deals'!$I$2:$I$130)</f>
        <v>29600</v>
      </c>
      <c r="H69" s="37" t="str">
        <f aca="false">INDEX(Settings!$A$11:$A$16,SUMPRODUCT(MAX((COUNTIFS('Open Deals'!$A$2:$A$130,A69,'Open Deals'!$F$2:$F$130,Settings!$A$11:$A$16)&gt;0)*Settings!$B$11:$B$16)))</f>
        <v>Negotiation</v>
      </c>
      <c r="I69" s="37" t="s">
        <v>14</v>
      </c>
      <c r="J69" s="37" t="s">
        <v>71</v>
      </c>
      <c r="K69" s="41" t="s">
        <v>160</v>
      </c>
    </row>
    <row r="70" customFormat="false" ht="15" hidden="false" customHeight="false" outlineLevel="0" collapsed="false">
      <c r="A70" s="35" t="s">
        <v>346</v>
      </c>
      <c r="B70" s="36" t="s">
        <v>94</v>
      </c>
      <c r="C70" s="37" t="s">
        <v>40</v>
      </c>
      <c r="D70" s="37" t="s">
        <v>298</v>
      </c>
      <c r="E70" s="38" t="s">
        <v>349</v>
      </c>
      <c r="F70" s="39" t="n">
        <f aca="false">COUNTIF('Open Deals'!$A$2:$A$130,A70)</f>
        <v>1</v>
      </c>
      <c r="G70" s="40" t="n">
        <f aca="false">SUMIF('Open Deals'!$A$2:$A$130,A70,'Open Deals'!$I$2:$I$130)</f>
        <v>29600</v>
      </c>
      <c r="H70" s="37" t="str">
        <f aca="false">INDEX(Settings!$A$11:$A$16,SUMPRODUCT(MAX((COUNTIFS('Open Deals'!$A$2:$A$130,A70,'Open Deals'!$F$2:$F$130,Settings!$A$11:$A$16)&gt;0)*Settings!$B$11:$B$16)))</f>
        <v>Present Proposal</v>
      </c>
      <c r="I70" s="37" t="s">
        <v>18</v>
      </c>
      <c r="J70" s="37" t="s">
        <v>71</v>
      </c>
      <c r="K70" s="41" t="s">
        <v>348</v>
      </c>
    </row>
    <row r="71" customFormat="false" ht="15" hidden="false" customHeight="false" outlineLevel="0" collapsed="false">
      <c r="A71" s="35" t="s">
        <v>506</v>
      </c>
      <c r="B71" s="36" t="s">
        <v>59</v>
      </c>
      <c r="C71" s="37" t="s">
        <v>40</v>
      </c>
      <c r="D71" s="37" t="s">
        <v>156</v>
      </c>
      <c r="E71" s="38" t="s">
        <v>509</v>
      </c>
      <c r="F71" s="39" t="n">
        <f aca="false">COUNTIF('Open Deals'!$A$2:$A$130,A71)</f>
        <v>1</v>
      </c>
      <c r="G71" s="40" t="n">
        <f aca="false">SUMIF('Open Deals'!$A$2:$A$130,A71,'Open Deals'!$I$2:$I$130)</f>
        <v>29600</v>
      </c>
      <c r="H71" s="37" t="str">
        <f aca="false">INDEX(Settings!$A$11:$A$16,SUMPRODUCT(MAX((COUNTIFS('Open Deals'!$A$2:$A$130,A71,'Open Deals'!$F$2:$F$130,Settings!$A$11:$A$16)&gt;0)*Settings!$B$11:$B$16)))</f>
        <v>Understand Need/Problem</v>
      </c>
      <c r="I71" s="37" t="s">
        <v>18</v>
      </c>
      <c r="J71" s="37" t="s">
        <v>37</v>
      </c>
      <c r="K71" s="41" t="s">
        <v>508</v>
      </c>
    </row>
    <row r="72" customFormat="false" ht="15" hidden="false" customHeight="false" outlineLevel="0" collapsed="false">
      <c r="A72" s="35" t="s">
        <v>110</v>
      </c>
      <c r="B72" s="36" t="s">
        <v>59</v>
      </c>
      <c r="C72" s="37" t="s">
        <v>28</v>
      </c>
      <c r="D72" s="37" t="s">
        <v>73</v>
      </c>
      <c r="E72" s="38" t="s">
        <v>113</v>
      </c>
      <c r="F72" s="39" t="n">
        <f aca="false">COUNTIF('Open Deals'!$A$2:$A$130,A72)</f>
        <v>2</v>
      </c>
      <c r="G72" s="40" t="n">
        <f aca="false">SUMIF('Open Deals'!$A$2:$A$130,A72,'Open Deals'!$I$2:$I$130)</f>
        <v>28860</v>
      </c>
      <c r="H72" s="37" t="str">
        <f aca="false">INDEX(Settings!$A$11:$A$16,SUMPRODUCT(MAX((COUNTIFS('Open Deals'!$A$2:$A$130,A72,'Open Deals'!$F$2:$F$130,Settings!$A$11:$A$16)&gt;0)*Settings!$B$11:$B$16)))</f>
        <v>IO Sent Out</v>
      </c>
      <c r="I72" s="37" t="s">
        <v>14</v>
      </c>
      <c r="J72" s="37" t="s">
        <v>71</v>
      </c>
      <c r="K72" s="41" t="s">
        <v>112</v>
      </c>
    </row>
    <row r="73" customFormat="false" ht="15" hidden="false" customHeight="false" outlineLevel="0" collapsed="false">
      <c r="A73" s="35" t="s">
        <v>400</v>
      </c>
      <c r="B73" s="36" t="s">
        <v>94</v>
      </c>
      <c r="C73" s="37" t="s">
        <v>38</v>
      </c>
      <c r="D73" s="37" t="s">
        <v>403</v>
      </c>
      <c r="E73" s="38" t="s">
        <v>404</v>
      </c>
      <c r="F73" s="39" t="n">
        <f aca="false">COUNTIF('Open Deals'!$A$2:$A$130,A73)</f>
        <v>1</v>
      </c>
      <c r="G73" s="40" t="n">
        <f aca="false">SUMIF('Open Deals'!$A$2:$A$130,A73,'Open Deals'!$I$2:$I$130)</f>
        <v>25900</v>
      </c>
      <c r="H73" s="37" t="str">
        <f aca="false">INDEX(Settings!$A$11:$A$16,SUMPRODUCT(MAX((COUNTIFS('Open Deals'!$A$2:$A$130,A73,'Open Deals'!$F$2:$F$130,Settings!$A$11:$A$16)&gt;0)*Settings!$B$11:$B$16)))</f>
        <v>Create Proposal</v>
      </c>
      <c r="I73" s="37" t="s">
        <v>14</v>
      </c>
      <c r="J73" s="37" t="s">
        <v>71</v>
      </c>
      <c r="K73" s="41" t="s">
        <v>402</v>
      </c>
    </row>
    <row r="74" customFormat="false" ht="15" hidden="false" customHeight="false" outlineLevel="0" collapsed="false">
      <c r="A74" s="35" t="s">
        <v>172</v>
      </c>
      <c r="B74" s="36" t="s">
        <v>94</v>
      </c>
      <c r="C74" s="37" t="s">
        <v>32</v>
      </c>
      <c r="D74" s="37" t="s">
        <v>175</v>
      </c>
      <c r="E74" s="38" t="s">
        <v>176</v>
      </c>
      <c r="F74" s="39" t="n">
        <f aca="false">COUNTIF('Open Deals'!$A$2:$A$130,A74)</f>
        <v>1</v>
      </c>
      <c r="G74" s="40" t="n">
        <f aca="false">SUMIF('Open Deals'!$A$2:$A$130,A74,'Open Deals'!$I$2:$I$130)</f>
        <v>25500</v>
      </c>
      <c r="H74" s="37" t="str">
        <f aca="false">INDEX(Settings!$A$11:$A$16,SUMPRODUCT(MAX((COUNTIFS('Open Deals'!$A$2:$A$130,A74,'Open Deals'!$F$2:$F$130,Settings!$A$11:$A$16)&gt;0)*Settings!$B$11:$B$16)))</f>
        <v>Negotiation</v>
      </c>
      <c r="I74" s="37" t="s">
        <v>18</v>
      </c>
      <c r="J74" s="37" t="s">
        <v>71</v>
      </c>
      <c r="K74" s="41" t="s">
        <v>174</v>
      </c>
    </row>
    <row r="75" customFormat="false" ht="15" hidden="false" customHeight="false" outlineLevel="0" collapsed="false">
      <c r="A75" s="35" t="s">
        <v>405</v>
      </c>
      <c r="B75" s="36" t="s">
        <v>59</v>
      </c>
      <c r="C75" s="37" t="s">
        <v>38</v>
      </c>
      <c r="D75" s="37" t="s">
        <v>353</v>
      </c>
      <c r="E75" s="38" t="s">
        <v>408</v>
      </c>
      <c r="F75" s="39" t="n">
        <f aca="false">COUNTIF('Open Deals'!$A$2:$A$130,A75)</f>
        <v>1</v>
      </c>
      <c r="G75" s="40" t="n">
        <f aca="false">SUMIF('Open Deals'!$A$2:$A$130,A75,'Open Deals'!$I$2:$I$130)</f>
        <v>25500</v>
      </c>
      <c r="H75" s="37" t="str">
        <f aca="false">INDEX(Settings!$A$11:$A$16,SUMPRODUCT(MAX((COUNTIFS('Open Deals'!$A$2:$A$130,A75,'Open Deals'!$F$2:$F$130,Settings!$A$11:$A$16)&gt;0)*Settings!$B$11:$B$16)))</f>
        <v>Create Proposal</v>
      </c>
      <c r="I75" s="37" t="s">
        <v>18</v>
      </c>
      <c r="J75" s="37" t="s">
        <v>71</v>
      </c>
      <c r="K75" s="41" t="s">
        <v>407</v>
      </c>
    </row>
    <row r="76" customFormat="false" ht="15" hidden="false" customHeight="false" outlineLevel="0" collapsed="false">
      <c r="A76" s="35" t="s">
        <v>275</v>
      </c>
      <c r="B76" s="36" t="s">
        <v>94</v>
      </c>
      <c r="C76" s="37" t="s">
        <v>32</v>
      </c>
      <c r="D76" s="37" t="s">
        <v>278</v>
      </c>
      <c r="E76" s="38" t="s">
        <v>279</v>
      </c>
      <c r="F76" s="39" t="n">
        <f aca="false">COUNTIF('Open Deals'!$A$2:$A$130,A76)</f>
        <v>1</v>
      </c>
      <c r="G76" s="40" t="n">
        <f aca="false">SUMIF('Open Deals'!$A$2:$A$130,A76,'Open Deals'!$I$2:$I$130)</f>
        <v>25000</v>
      </c>
      <c r="H76" s="37" t="str">
        <f aca="false">INDEX(Settings!$A$11:$A$16,SUMPRODUCT(MAX((COUNTIFS('Open Deals'!$A$2:$A$130,A76,'Open Deals'!$F$2:$F$130,Settings!$A$11:$A$16)&gt;0)*Settings!$B$11:$B$16)))</f>
        <v>Feedback</v>
      </c>
      <c r="I76" s="37" t="s">
        <v>18</v>
      </c>
      <c r="J76" s="37" t="s">
        <v>71</v>
      </c>
      <c r="K76" s="41" t="s">
        <v>277</v>
      </c>
    </row>
    <row r="77" customFormat="false" ht="15" hidden="false" customHeight="false" outlineLevel="0" collapsed="false">
      <c r="A77" s="35" t="s">
        <v>177</v>
      </c>
      <c r="B77" s="36" t="s">
        <v>59</v>
      </c>
      <c r="C77" s="37" t="s">
        <v>36</v>
      </c>
      <c r="D77" s="37" t="s">
        <v>180</v>
      </c>
      <c r="E77" s="38" t="s">
        <v>181</v>
      </c>
      <c r="F77" s="39" t="n">
        <f aca="false">COUNTIF('Open Deals'!$A$2:$A$130,A77)</f>
        <v>1</v>
      </c>
      <c r="G77" s="40" t="n">
        <f aca="false">SUMIF('Open Deals'!$A$2:$A$130,A77,'Open Deals'!$I$2:$I$130)</f>
        <v>22200</v>
      </c>
      <c r="H77" s="37" t="str">
        <f aca="false">INDEX(Settings!$A$11:$A$16,SUMPRODUCT(MAX((COUNTIFS('Open Deals'!$A$2:$A$130,A77,'Open Deals'!$F$2:$F$130,Settings!$A$11:$A$16)&gt;0)*Settings!$B$11:$B$16)))</f>
        <v>Negotiation</v>
      </c>
      <c r="I77" s="37" t="s">
        <v>18</v>
      </c>
      <c r="J77" s="37" t="s">
        <v>37</v>
      </c>
      <c r="K77" s="41" t="s">
        <v>179</v>
      </c>
    </row>
    <row r="78" customFormat="false" ht="15" hidden="false" customHeight="false" outlineLevel="0" collapsed="false">
      <c r="A78" s="35" t="s">
        <v>280</v>
      </c>
      <c r="B78" s="36" t="s">
        <v>94</v>
      </c>
      <c r="C78" s="37" t="s">
        <v>41</v>
      </c>
      <c r="D78" s="37" t="s">
        <v>283</v>
      </c>
      <c r="E78" s="38" t="s">
        <v>284</v>
      </c>
      <c r="F78" s="39" t="n">
        <f aca="false">COUNTIF('Open Deals'!$A$2:$A$130,A78)</f>
        <v>1</v>
      </c>
      <c r="G78" s="40" t="n">
        <f aca="false">SUMIF('Open Deals'!$A$2:$A$130,A78,'Open Deals'!$I$2:$I$130)</f>
        <v>22200</v>
      </c>
      <c r="H78" s="37" t="str">
        <f aca="false">INDEX(Settings!$A$11:$A$16,SUMPRODUCT(MAX((COUNTIFS('Open Deals'!$A$2:$A$130,A78,'Open Deals'!$F$2:$F$130,Settings!$A$11:$A$16)&gt;0)*Settings!$B$11:$B$16)))</f>
        <v>Feedback</v>
      </c>
      <c r="I78" s="37" t="s">
        <v>14</v>
      </c>
      <c r="J78" s="37" t="s">
        <v>71</v>
      </c>
      <c r="K78" s="41" t="s">
        <v>282</v>
      </c>
    </row>
    <row r="79" customFormat="false" ht="15" hidden="false" customHeight="false" outlineLevel="0" collapsed="false">
      <c r="A79" s="35" t="s">
        <v>285</v>
      </c>
      <c r="B79" s="36" t="s">
        <v>94</v>
      </c>
      <c r="C79" s="37" t="s">
        <v>42</v>
      </c>
      <c r="D79" s="37" t="s">
        <v>288</v>
      </c>
      <c r="E79" s="38" t="s">
        <v>289</v>
      </c>
      <c r="F79" s="39" t="n">
        <f aca="false">COUNTIF('Open Deals'!$A$2:$A$130,A79)</f>
        <v>1</v>
      </c>
      <c r="G79" s="40" t="n">
        <f aca="false">SUMIF('Open Deals'!$A$2:$A$130,A79,'Open Deals'!$I$2:$I$130)</f>
        <v>22200</v>
      </c>
      <c r="H79" s="37" t="str">
        <f aca="false">INDEX(Settings!$A$11:$A$16,SUMPRODUCT(MAX((COUNTIFS('Open Deals'!$A$2:$A$130,A79,'Open Deals'!$F$2:$F$130,Settings!$A$11:$A$16)&gt;0)*Settings!$B$11:$B$16)))</f>
        <v>Feedback</v>
      </c>
      <c r="I79" s="37" t="s">
        <v>14</v>
      </c>
      <c r="J79" s="37" t="s">
        <v>71</v>
      </c>
      <c r="K79" s="41" t="s">
        <v>287</v>
      </c>
    </row>
    <row r="80" customFormat="false" ht="15" hidden="false" customHeight="false" outlineLevel="0" collapsed="false">
      <c r="A80" s="35" t="s">
        <v>290</v>
      </c>
      <c r="B80" s="36" t="s">
        <v>94</v>
      </c>
      <c r="C80" s="37" t="s">
        <v>30</v>
      </c>
      <c r="D80" s="37" t="s">
        <v>293</v>
      </c>
      <c r="E80" s="38" t="s">
        <v>294</v>
      </c>
      <c r="F80" s="39" t="n">
        <f aca="false">COUNTIF('Open Deals'!$A$2:$A$130,A80)</f>
        <v>1</v>
      </c>
      <c r="G80" s="40" t="n">
        <f aca="false">SUMIF('Open Deals'!$A$2:$A$130,A80,'Open Deals'!$I$2:$I$130)</f>
        <v>22200</v>
      </c>
      <c r="H80" s="37" t="str">
        <f aca="false">INDEX(Settings!$A$11:$A$16,SUMPRODUCT(MAX((COUNTIFS('Open Deals'!$A$2:$A$130,A80,'Open Deals'!$F$2:$F$130,Settings!$A$11:$A$16)&gt;0)*Settings!$B$11:$B$16)))</f>
        <v>Feedback</v>
      </c>
      <c r="I80" s="37" t="s">
        <v>18</v>
      </c>
      <c r="J80" s="37" t="s">
        <v>71</v>
      </c>
      <c r="K80" s="41" t="s">
        <v>292</v>
      </c>
    </row>
    <row r="81" customFormat="false" ht="15" hidden="false" customHeight="false" outlineLevel="0" collapsed="false">
      <c r="A81" s="35" t="s">
        <v>409</v>
      </c>
      <c r="B81" s="36" t="s">
        <v>59</v>
      </c>
      <c r="C81" s="37" t="s">
        <v>28</v>
      </c>
      <c r="D81" s="37" t="s">
        <v>411</v>
      </c>
      <c r="E81" s="38" t="s">
        <v>412</v>
      </c>
      <c r="F81" s="39" t="n">
        <f aca="false">COUNTIF('Open Deals'!$A$2:$A$130,A81)</f>
        <v>1</v>
      </c>
      <c r="G81" s="40" t="n">
        <f aca="false">SUMIF('Open Deals'!$A$2:$A$130,A81,'Open Deals'!$I$2:$I$130)</f>
        <v>22200</v>
      </c>
      <c r="H81" s="37" t="str">
        <f aca="false">INDEX(Settings!$A$11:$A$16,SUMPRODUCT(MAX((COUNTIFS('Open Deals'!$A$2:$A$130,A81,'Open Deals'!$F$2:$F$130,Settings!$A$11:$A$16)&gt;0)*Settings!$B$11:$B$16)))</f>
        <v>Create Proposal</v>
      </c>
      <c r="I81" s="37" t="s">
        <v>14</v>
      </c>
      <c r="J81" s="37" t="s">
        <v>27</v>
      </c>
      <c r="K81" s="41" t="s">
        <v>95</v>
      </c>
    </row>
    <row r="82" customFormat="false" ht="15" hidden="false" customHeight="false" outlineLevel="0" collapsed="false">
      <c r="A82" s="35" t="s">
        <v>510</v>
      </c>
      <c r="B82" s="36" t="s">
        <v>94</v>
      </c>
      <c r="C82" s="37" t="s">
        <v>41</v>
      </c>
      <c r="D82" s="37" t="s">
        <v>512</v>
      </c>
      <c r="E82" s="38" t="s">
        <v>513</v>
      </c>
      <c r="F82" s="39" t="n">
        <f aca="false">COUNTIF('Open Deals'!$A$2:$A$130,A82)</f>
        <v>1</v>
      </c>
      <c r="G82" s="40" t="n">
        <f aca="false">SUMIF('Open Deals'!$A$2:$A$130,A82,'Open Deals'!$I$2:$I$130)</f>
        <v>22200</v>
      </c>
      <c r="H82" s="37" t="str">
        <f aca="false">INDEX(Settings!$A$11:$A$16,SUMPRODUCT(MAX((COUNTIFS('Open Deals'!$A$2:$A$130,A82,'Open Deals'!$F$2:$F$130,Settings!$A$11:$A$16)&gt;0)*Settings!$B$11:$B$16)))</f>
        <v>Understand Need/Problem</v>
      </c>
      <c r="I82" s="37" t="s">
        <v>16</v>
      </c>
      <c r="J82" s="37" t="s">
        <v>71</v>
      </c>
      <c r="K82" s="41" t="s">
        <v>511</v>
      </c>
    </row>
    <row r="83" customFormat="false" ht="15" hidden="false" customHeight="false" outlineLevel="0" collapsed="false">
      <c r="A83" s="35" t="s">
        <v>514</v>
      </c>
      <c r="B83" s="36" t="s">
        <v>59</v>
      </c>
      <c r="C83" s="37" t="s">
        <v>28</v>
      </c>
      <c r="D83" s="37" t="s">
        <v>517</v>
      </c>
      <c r="E83" s="38" t="s">
        <v>518</v>
      </c>
      <c r="F83" s="39" t="n">
        <f aca="false">COUNTIF('Open Deals'!$A$2:$A$130,A83)</f>
        <v>1</v>
      </c>
      <c r="G83" s="40" t="n">
        <f aca="false">SUMIF('Open Deals'!$A$2:$A$130,A83,'Open Deals'!$I$2:$I$130)</f>
        <v>22200</v>
      </c>
      <c r="H83" s="37" t="str">
        <f aca="false">INDEX(Settings!$A$11:$A$16,SUMPRODUCT(MAX((COUNTIFS('Open Deals'!$A$2:$A$130,A83,'Open Deals'!$F$2:$F$130,Settings!$A$11:$A$16)&gt;0)*Settings!$B$11:$B$16)))</f>
        <v>Understand Need/Problem</v>
      </c>
      <c r="I83" s="37" t="s">
        <v>16</v>
      </c>
      <c r="J83" s="37" t="s">
        <v>33</v>
      </c>
      <c r="K83" s="41" t="s">
        <v>516</v>
      </c>
    </row>
    <row r="84" customFormat="false" ht="15" hidden="false" customHeight="false" outlineLevel="0" collapsed="false">
      <c r="A84" s="35" t="s">
        <v>295</v>
      </c>
      <c r="B84" s="36" t="s">
        <v>94</v>
      </c>
      <c r="C84" s="37" t="s">
        <v>40</v>
      </c>
      <c r="D84" s="37" t="s">
        <v>298</v>
      </c>
      <c r="E84" s="38" t="s">
        <v>299</v>
      </c>
      <c r="F84" s="39" t="n">
        <f aca="false">COUNTIF('Open Deals'!$A$2:$A$130,A84)</f>
        <v>1</v>
      </c>
      <c r="G84" s="40" t="n">
        <f aca="false">SUMIF('Open Deals'!$A$2:$A$130,A84,'Open Deals'!$I$2:$I$130)</f>
        <v>20000</v>
      </c>
      <c r="H84" s="37" t="str">
        <f aca="false">INDEX(Settings!$A$11:$A$16,SUMPRODUCT(MAX((COUNTIFS('Open Deals'!$A$2:$A$130,A84,'Open Deals'!$F$2:$F$130,Settings!$A$11:$A$16)&gt;0)*Settings!$B$11:$B$16)))</f>
        <v>Feedback</v>
      </c>
      <c r="I84" s="37" t="s">
        <v>18</v>
      </c>
      <c r="J84" s="37" t="s">
        <v>71</v>
      </c>
      <c r="K84" s="41" t="s">
        <v>297</v>
      </c>
    </row>
    <row r="85" customFormat="false" ht="15" hidden="false" customHeight="false" outlineLevel="0" collapsed="false">
      <c r="A85" s="35" t="s">
        <v>413</v>
      </c>
      <c r="B85" s="36" t="s">
        <v>94</v>
      </c>
      <c r="C85" s="37" t="s">
        <v>38</v>
      </c>
      <c r="D85" s="37" t="s">
        <v>416</v>
      </c>
      <c r="E85" s="38" t="s">
        <v>417</v>
      </c>
      <c r="F85" s="39" t="n">
        <f aca="false">COUNTIF('Open Deals'!$A$2:$A$130,A85)</f>
        <v>1</v>
      </c>
      <c r="G85" s="40" t="n">
        <f aca="false">SUMIF('Open Deals'!$A$2:$A$130,A85,'Open Deals'!$I$2:$I$130)</f>
        <v>20000</v>
      </c>
      <c r="H85" s="37" t="str">
        <f aca="false">INDEX(Settings!$A$11:$A$16,SUMPRODUCT(MAX((COUNTIFS('Open Deals'!$A$2:$A$130,A85,'Open Deals'!$F$2:$F$130,Settings!$A$11:$A$16)&gt;0)*Settings!$B$11:$B$16)))</f>
        <v>Create Proposal</v>
      </c>
      <c r="I85" s="37" t="s">
        <v>18</v>
      </c>
      <c r="J85" s="37" t="s">
        <v>71</v>
      </c>
      <c r="K85" s="41" t="s">
        <v>415</v>
      </c>
    </row>
    <row r="86" customFormat="false" ht="15" hidden="false" customHeight="false" outlineLevel="0" collapsed="false">
      <c r="A86" s="35" t="s">
        <v>519</v>
      </c>
      <c r="B86" s="36" t="s">
        <v>94</v>
      </c>
      <c r="C86" s="37" t="s">
        <v>28</v>
      </c>
      <c r="D86" s="37" t="s">
        <v>235</v>
      </c>
      <c r="E86" s="38" t="s">
        <v>522</v>
      </c>
      <c r="F86" s="39" t="n">
        <f aca="false">COUNTIF('Open Deals'!$A$2:$A$130,A86)</f>
        <v>1</v>
      </c>
      <c r="G86" s="40" t="n">
        <f aca="false">SUMIF('Open Deals'!$A$2:$A$130,A86,'Open Deals'!$I$2:$I$130)</f>
        <v>20000</v>
      </c>
      <c r="H86" s="37" t="str">
        <f aca="false">INDEX(Settings!$A$11:$A$16,SUMPRODUCT(MAX((COUNTIFS('Open Deals'!$A$2:$A$130,A86,'Open Deals'!$F$2:$F$130,Settings!$A$11:$A$16)&gt;0)*Settings!$B$11:$B$16)))</f>
        <v>Understand Need/Problem</v>
      </c>
      <c r="I86" s="37" t="s">
        <v>16</v>
      </c>
      <c r="J86" s="37" t="s">
        <v>71</v>
      </c>
      <c r="K86" s="41" t="s">
        <v>521</v>
      </c>
    </row>
    <row r="87" customFormat="false" ht="15" hidden="false" customHeight="false" outlineLevel="0" collapsed="false">
      <c r="A87" s="35" t="s">
        <v>523</v>
      </c>
      <c r="B87" s="36" t="s">
        <v>59</v>
      </c>
      <c r="C87" s="37" t="s">
        <v>30</v>
      </c>
      <c r="D87" s="37" t="s">
        <v>526</v>
      </c>
      <c r="E87" s="38" t="s">
        <v>527</v>
      </c>
      <c r="F87" s="39" t="n">
        <f aca="false">COUNTIF('Open Deals'!$A$2:$A$130,A87)</f>
        <v>1</v>
      </c>
      <c r="G87" s="40" t="n">
        <f aca="false">SUMIF('Open Deals'!$A$2:$A$130,A87,'Open Deals'!$I$2:$I$130)</f>
        <v>18500</v>
      </c>
      <c r="H87" s="37" t="str">
        <f aca="false">INDEX(Settings!$A$11:$A$16,SUMPRODUCT(MAX((COUNTIFS('Open Deals'!$A$2:$A$130,A87,'Open Deals'!$F$2:$F$130,Settings!$A$11:$A$16)&gt;0)*Settings!$B$11:$B$16)))</f>
        <v>Understand Need/Problem</v>
      </c>
      <c r="I87" s="37" t="s">
        <v>18</v>
      </c>
      <c r="J87" s="37" t="s">
        <v>71</v>
      </c>
      <c r="K87" s="41" t="s">
        <v>525</v>
      </c>
    </row>
    <row r="88" customFormat="false" ht="15" hidden="false" customHeight="false" outlineLevel="0" collapsed="false">
      <c r="A88" s="35" t="s">
        <v>530</v>
      </c>
      <c r="B88" s="36" t="s">
        <v>59</v>
      </c>
      <c r="C88" s="37" t="s">
        <v>28</v>
      </c>
      <c r="D88" s="37" t="s">
        <v>320</v>
      </c>
      <c r="E88" s="38" t="s">
        <v>453</v>
      </c>
      <c r="F88" s="39" t="n">
        <f aca="false">COUNTIF('Open Deals'!$A$2:$A$130,A88)</f>
        <v>1</v>
      </c>
      <c r="G88" s="40" t="n">
        <f aca="false">SUMIF('Open Deals'!$A$2:$A$130,A88,'Open Deals'!$I$2:$I$130)</f>
        <v>17000</v>
      </c>
      <c r="H88" s="37" t="str">
        <f aca="false">INDEX(Settings!$A$11:$A$16,SUMPRODUCT(MAX((COUNTIFS('Open Deals'!$A$2:$A$130,A88,'Open Deals'!$F$2:$F$130,Settings!$A$11:$A$16)&gt;0)*Settings!$B$11:$B$16)))</f>
        <v>Understand Need/Problem</v>
      </c>
      <c r="I88" s="37" t="s">
        <v>16</v>
      </c>
      <c r="J88" s="37" t="s">
        <v>33</v>
      </c>
      <c r="K88" s="41" t="s">
        <v>532</v>
      </c>
    </row>
    <row r="89" customFormat="false" ht="15" hidden="false" customHeight="false" outlineLevel="0" collapsed="false">
      <c r="A89" s="35" t="s">
        <v>185</v>
      </c>
      <c r="B89" s="36" t="s">
        <v>59</v>
      </c>
      <c r="C89" s="37" t="s">
        <v>28</v>
      </c>
      <c r="D89" s="37" t="s">
        <v>188</v>
      </c>
      <c r="E89" s="38" t="s">
        <v>189</v>
      </c>
      <c r="F89" s="39" t="n">
        <f aca="false">COUNTIF('Open Deals'!$A$2:$A$130,A89)</f>
        <v>1</v>
      </c>
      <c r="G89" s="40" t="n">
        <f aca="false">SUMIF('Open Deals'!$A$2:$A$130,A89,'Open Deals'!$I$2:$I$130)</f>
        <v>15000</v>
      </c>
      <c r="H89" s="37" t="str">
        <f aca="false">INDEX(Settings!$A$11:$A$16,SUMPRODUCT(MAX((COUNTIFS('Open Deals'!$A$2:$A$130,A89,'Open Deals'!$F$2:$F$130,Settings!$A$11:$A$16)&gt;0)*Settings!$B$11:$B$16)))</f>
        <v>Negotiation</v>
      </c>
      <c r="I89" s="37" t="s">
        <v>16</v>
      </c>
      <c r="J89" s="37" t="s">
        <v>35</v>
      </c>
      <c r="K89" s="41" t="s">
        <v>187</v>
      </c>
    </row>
    <row r="90" customFormat="false" ht="15" hidden="false" customHeight="false" outlineLevel="0" collapsed="false">
      <c r="A90" s="35" t="s">
        <v>301</v>
      </c>
      <c r="B90" s="36" t="s">
        <v>59</v>
      </c>
      <c r="C90" s="37" t="s">
        <v>28</v>
      </c>
      <c r="D90" s="37" t="s">
        <v>73</v>
      </c>
      <c r="E90" s="38" t="s">
        <v>304</v>
      </c>
      <c r="F90" s="39" t="n">
        <f aca="false">COUNTIF('Open Deals'!$A$2:$A$130,A90)</f>
        <v>1</v>
      </c>
      <c r="G90" s="40" t="n">
        <f aca="false">SUMIF('Open Deals'!$A$2:$A$130,A90,'Open Deals'!$I$2:$I$130)</f>
        <v>14800</v>
      </c>
      <c r="H90" s="37" t="str">
        <f aca="false">INDEX(Settings!$A$11:$A$16,SUMPRODUCT(MAX((COUNTIFS('Open Deals'!$A$2:$A$130,A90,'Open Deals'!$F$2:$F$130,Settings!$A$11:$A$16)&gt;0)*Settings!$B$11:$B$16)))</f>
        <v>Feedback</v>
      </c>
      <c r="I90" s="37" t="s">
        <v>14</v>
      </c>
      <c r="J90" s="37" t="s">
        <v>29</v>
      </c>
      <c r="K90" s="42" t="s">
        <v>303</v>
      </c>
    </row>
    <row r="91" customFormat="false" ht="15" hidden="false" customHeight="false" outlineLevel="0" collapsed="false">
      <c r="A91" s="35" t="s">
        <v>419</v>
      </c>
      <c r="B91" s="36" t="s">
        <v>94</v>
      </c>
      <c r="C91" s="37" t="s">
        <v>39</v>
      </c>
      <c r="D91" s="37" t="s">
        <v>422</v>
      </c>
      <c r="E91" s="38" t="s">
        <v>423</v>
      </c>
      <c r="F91" s="39" t="n">
        <f aca="false">COUNTIF('Open Deals'!$A$2:$A$130,A91)</f>
        <v>1</v>
      </c>
      <c r="G91" s="40" t="n">
        <f aca="false">SUMIF('Open Deals'!$A$2:$A$130,A91,'Open Deals'!$I$2:$I$130)</f>
        <v>14800</v>
      </c>
      <c r="H91" s="37" t="str">
        <f aca="false">INDEX(Settings!$A$11:$A$16,SUMPRODUCT(MAX((COUNTIFS('Open Deals'!$A$2:$A$130,A91,'Open Deals'!$F$2:$F$130,Settings!$A$11:$A$16)&gt;0)*Settings!$B$11:$B$16)))</f>
        <v>Create Proposal</v>
      </c>
      <c r="I91" s="37" t="s">
        <v>14</v>
      </c>
      <c r="J91" s="37" t="s">
        <v>71</v>
      </c>
      <c r="K91" s="41" t="s">
        <v>421</v>
      </c>
    </row>
    <row r="92" customFormat="false" ht="15" hidden="false" customHeight="false" outlineLevel="0" collapsed="false">
      <c r="A92" s="35" t="s">
        <v>424</v>
      </c>
      <c r="B92" s="36" t="s">
        <v>94</v>
      </c>
      <c r="C92" s="37" t="s">
        <v>30</v>
      </c>
      <c r="D92" s="37" t="s">
        <v>427</v>
      </c>
      <c r="E92" s="38" t="s">
        <v>428</v>
      </c>
      <c r="F92" s="39" t="n">
        <f aca="false">COUNTIF('Open Deals'!$A$2:$A$130,A92)</f>
        <v>1</v>
      </c>
      <c r="G92" s="40" t="n">
        <f aca="false">SUMIF('Open Deals'!$A$2:$A$130,A92,'Open Deals'!$I$2:$I$130)</f>
        <v>14800</v>
      </c>
      <c r="H92" s="37" t="str">
        <f aca="false">INDEX(Settings!$A$11:$A$16,SUMPRODUCT(MAX((COUNTIFS('Open Deals'!$A$2:$A$130,A92,'Open Deals'!$F$2:$F$130,Settings!$A$11:$A$16)&gt;0)*Settings!$B$11:$B$16)))</f>
        <v>Create Proposal</v>
      </c>
      <c r="I92" s="37" t="s">
        <v>14</v>
      </c>
      <c r="J92" s="37" t="s">
        <v>71</v>
      </c>
      <c r="K92" s="41" t="s">
        <v>426</v>
      </c>
    </row>
    <row r="93" customFormat="false" ht="15" hidden="false" customHeight="false" outlineLevel="0" collapsed="false">
      <c r="A93" s="35" t="s">
        <v>533</v>
      </c>
      <c r="B93" s="36" t="s">
        <v>94</v>
      </c>
      <c r="C93" s="37" t="s">
        <v>42</v>
      </c>
      <c r="D93" s="37" t="s">
        <v>536</v>
      </c>
      <c r="E93" s="38" t="s">
        <v>537</v>
      </c>
      <c r="F93" s="39" t="n">
        <f aca="false">COUNTIF('Open Deals'!$A$2:$A$130,A93)</f>
        <v>1</v>
      </c>
      <c r="G93" s="40" t="n">
        <f aca="false">SUMIF('Open Deals'!$A$2:$A$130,A93,'Open Deals'!$I$2:$I$130)</f>
        <v>14800</v>
      </c>
      <c r="H93" s="37" t="str">
        <f aca="false">INDEX(Settings!$A$11:$A$16,SUMPRODUCT(MAX((COUNTIFS('Open Deals'!$A$2:$A$130,A93,'Open Deals'!$F$2:$F$130,Settings!$A$11:$A$16)&gt;0)*Settings!$B$11:$B$16)))</f>
        <v>Understand Need/Problem</v>
      </c>
      <c r="I93" s="37" t="s">
        <v>18</v>
      </c>
      <c r="J93" s="37" t="s">
        <v>71</v>
      </c>
      <c r="K93" s="41" t="s">
        <v>535</v>
      </c>
    </row>
    <row r="94" customFormat="false" ht="15" hidden="false" customHeight="false" outlineLevel="0" collapsed="false">
      <c r="A94" s="35" t="s">
        <v>538</v>
      </c>
      <c r="B94" s="36" t="s">
        <v>94</v>
      </c>
      <c r="C94" s="37" t="s">
        <v>30</v>
      </c>
      <c r="D94" s="37" t="s">
        <v>240</v>
      </c>
      <c r="E94" s="38" t="s">
        <v>541</v>
      </c>
      <c r="F94" s="39" t="n">
        <f aca="false">COUNTIF('Open Deals'!$A$2:$A$130,A94)</f>
        <v>1</v>
      </c>
      <c r="G94" s="40" t="n">
        <f aca="false">SUMIF('Open Deals'!$A$2:$A$130,A94,'Open Deals'!$I$2:$I$130)</f>
        <v>14800</v>
      </c>
      <c r="H94" s="37" t="str">
        <f aca="false">INDEX(Settings!$A$11:$A$16,SUMPRODUCT(MAX((COUNTIFS('Open Deals'!$A$2:$A$130,A94,'Open Deals'!$F$2:$F$130,Settings!$A$11:$A$16)&gt;0)*Settings!$B$11:$B$16)))</f>
        <v>Understand Need/Problem</v>
      </c>
      <c r="I94" s="37" t="s">
        <v>18</v>
      </c>
      <c r="J94" s="37" t="s">
        <v>71</v>
      </c>
      <c r="K94" s="41" t="s">
        <v>540</v>
      </c>
    </row>
    <row r="95" customFormat="false" ht="15" hidden="false" customHeight="false" outlineLevel="0" collapsed="false">
      <c r="A95" s="35" t="s">
        <v>542</v>
      </c>
      <c r="B95" s="36" t="s">
        <v>59</v>
      </c>
      <c r="C95" s="37" t="s">
        <v>28</v>
      </c>
      <c r="D95" s="37" t="s">
        <v>320</v>
      </c>
      <c r="E95" s="38" t="s">
        <v>545</v>
      </c>
      <c r="F95" s="39" t="n">
        <f aca="false">COUNTIF('Open Deals'!$A$2:$A$130,A95)</f>
        <v>1</v>
      </c>
      <c r="G95" s="40" t="n">
        <f aca="false">SUMIF('Open Deals'!$A$2:$A$130,A95,'Open Deals'!$I$2:$I$130)</f>
        <v>12750</v>
      </c>
      <c r="H95" s="37" t="str">
        <f aca="false">INDEX(Settings!$A$11:$A$16,SUMPRODUCT(MAX((COUNTIFS('Open Deals'!$A$2:$A$130,A95,'Open Deals'!$F$2:$F$130,Settings!$A$11:$A$16)&gt;0)*Settings!$B$11:$B$16)))</f>
        <v>Understand Need/Problem</v>
      </c>
      <c r="I95" s="37" t="s">
        <v>16</v>
      </c>
      <c r="J95" s="37" t="s">
        <v>35</v>
      </c>
      <c r="K95" s="41" t="s">
        <v>544</v>
      </c>
    </row>
    <row r="96" customFormat="false" ht="15" hidden="false" customHeight="false" outlineLevel="0" collapsed="false">
      <c r="A96" s="35" t="s">
        <v>546</v>
      </c>
      <c r="B96" s="36" t="s">
        <v>59</v>
      </c>
      <c r="C96" s="37" t="s">
        <v>30</v>
      </c>
      <c r="D96" s="37" t="s">
        <v>377</v>
      </c>
      <c r="E96" s="38" t="s">
        <v>549</v>
      </c>
      <c r="F96" s="39" t="n">
        <f aca="false">COUNTIF('Open Deals'!$A$2:$A$130,A96)</f>
        <v>1</v>
      </c>
      <c r="G96" s="40" t="n">
        <f aca="false">SUMIF('Open Deals'!$A$2:$A$130,A96,'Open Deals'!$I$2:$I$130)</f>
        <v>11100</v>
      </c>
      <c r="H96" s="37" t="str">
        <f aca="false">INDEX(Settings!$A$11:$A$16,SUMPRODUCT(MAX((COUNTIFS('Open Deals'!$A$2:$A$130,A96,'Open Deals'!$F$2:$F$130,Settings!$A$11:$A$16)&gt;0)*Settings!$B$11:$B$16)))</f>
        <v>Understand Need/Problem</v>
      </c>
      <c r="I96" s="37" t="s">
        <v>14</v>
      </c>
      <c r="J96" s="37" t="s">
        <v>71</v>
      </c>
      <c r="K96" s="41" t="s">
        <v>548</v>
      </c>
    </row>
    <row r="97" customFormat="false" ht="15" hidden="false" customHeight="false" outlineLevel="0" collapsed="false">
      <c r="A97" s="35" t="s">
        <v>305</v>
      </c>
      <c r="B97" s="36" t="s">
        <v>59</v>
      </c>
      <c r="C97" s="37" t="s">
        <v>28</v>
      </c>
      <c r="D97" s="37" t="s">
        <v>308</v>
      </c>
      <c r="E97" s="38" t="s">
        <v>309</v>
      </c>
      <c r="F97" s="39" t="n">
        <f aca="false">COUNTIF('Open Deals'!$A$2:$A$130,A97)</f>
        <v>1</v>
      </c>
      <c r="G97" s="40" t="n">
        <f aca="false">SUMIF('Open Deals'!$A$2:$A$130,A97,'Open Deals'!$I$2:$I$130)</f>
        <v>10000</v>
      </c>
      <c r="H97" s="37" t="str">
        <f aca="false">INDEX(Settings!$A$11:$A$16,SUMPRODUCT(MAX((COUNTIFS('Open Deals'!$A$2:$A$130,A97,'Open Deals'!$F$2:$F$130,Settings!$A$11:$A$16)&gt;0)*Settings!$B$11:$B$16)))</f>
        <v>Feedback</v>
      </c>
      <c r="I97" s="37" t="s">
        <v>14</v>
      </c>
      <c r="J97" s="37" t="s">
        <v>27</v>
      </c>
      <c r="K97" s="41" t="s">
        <v>307</v>
      </c>
    </row>
    <row r="98" customFormat="false" ht="15" hidden="false" customHeight="false" outlineLevel="0" collapsed="false">
      <c r="A98" s="35" t="s">
        <v>350</v>
      </c>
      <c r="B98" s="36" t="s">
        <v>94</v>
      </c>
      <c r="C98" s="37" t="s">
        <v>38</v>
      </c>
      <c r="D98" s="37" t="s">
        <v>353</v>
      </c>
      <c r="E98" s="38" t="s">
        <v>354</v>
      </c>
      <c r="F98" s="39" t="n">
        <f aca="false">COUNTIF('Open Deals'!$A$2:$A$130,A98)</f>
        <v>1</v>
      </c>
      <c r="G98" s="40" t="n">
        <f aca="false">SUMIF('Open Deals'!$A$2:$A$130,A98,'Open Deals'!$I$2:$I$130)</f>
        <v>10000</v>
      </c>
      <c r="H98" s="37" t="str">
        <f aca="false">INDEX(Settings!$A$11:$A$16,SUMPRODUCT(MAX((COUNTIFS('Open Deals'!$A$2:$A$130,A98,'Open Deals'!$F$2:$F$130,Settings!$A$11:$A$16)&gt;0)*Settings!$B$11:$B$16)))</f>
        <v>Present Proposal</v>
      </c>
      <c r="I98" s="37" t="s">
        <v>14</v>
      </c>
      <c r="J98" s="37" t="s">
        <v>71</v>
      </c>
      <c r="K98" s="41" t="s">
        <v>352</v>
      </c>
    </row>
    <row r="99" customFormat="false" ht="15" hidden="false" customHeight="false" outlineLevel="0" collapsed="false">
      <c r="A99" s="35" t="s">
        <v>429</v>
      </c>
      <c r="B99" s="36" t="s">
        <v>59</v>
      </c>
      <c r="C99" s="37" t="s">
        <v>39</v>
      </c>
      <c r="D99" s="37" t="s">
        <v>432</v>
      </c>
      <c r="E99" s="38" t="s">
        <v>433</v>
      </c>
      <c r="F99" s="39" t="n">
        <f aca="false">COUNTIF('Open Deals'!$A$2:$A$130,A99)</f>
        <v>1</v>
      </c>
      <c r="G99" s="40" t="n">
        <f aca="false">SUMIF('Open Deals'!$A$2:$A$130,A99,'Open Deals'!$I$2:$I$130)</f>
        <v>7400</v>
      </c>
      <c r="H99" s="37" t="str">
        <f aca="false">INDEX(Settings!$A$11:$A$16,SUMPRODUCT(MAX((COUNTIFS('Open Deals'!$A$2:$A$130,A99,'Open Deals'!$F$2:$F$130,Settings!$A$11:$A$16)&gt;0)*Settings!$B$11:$B$16)))</f>
        <v>Create Proposal</v>
      </c>
      <c r="I99" s="37" t="s">
        <v>16</v>
      </c>
      <c r="J99" s="37" t="s">
        <v>33</v>
      </c>
      <c r="K99" s="41" t="s">
        <v>431</v>
      </c>
    </row>
    <row r="100" customFormat="false" ht="15" hidden="false" customHeight="false" outlineLevel="0" collapsed="false">
      <c r="A100" s="35" t="s">
        <v>550</v>
      </c>
      <c r="B100" s="36" t="s">
        <v>59</v>
      </c>
      <c r="C100" s="37" t="s">
        <v>30</v>
      </c>
      <c r="D100" s="37" t="s">
        <v>377</v>
      </c>
      <c r="E100" s="38" t="s">
        <v>552</v>
      </c>
      <c r="F100" s="39" t="n">
        <f aca="false">COUNTIF('Open Deals'!$A$2:$A$130,A100)</f>
        <v>1</v>
      </c>
      <c r="G100" s="40" t="n">
        <f aca="false">SUMIF('Open Deals'!$A$2:$A$130,A100,'Open Deals'!$I$2:$I$130)</f>
        <v>7400</v>
      </c>
      <c r="H100" s="37" t="str">
        <f aca="false">INDEX(Settings!$A$11:$A$16,SUMPRODUCT(MAX((COUNTIFS('Open Deals'!$A$2:$A$130,A100,'Open Deals'!$F$2:$F$130,Settings!$A$11:$A$16)&gt;0)*Settings!$B$11:$B$16)))</f>
        <v>Understand Need/Problem</v>
      </c>
      <c r="I100" s="37" t="s">
        <v>16</v>
      </c>
      <c r="J100" s="37" t="s">
        <v>71</v>
      </c>
      <c r="K100" s="41" t="s">
        <v>551</v>
      </c>
    </row>
    <row r="101" customFormat="false" ht="15" hidden="false" customHeight="false" outlineLevel="0" collapsed="false">
      <c r="A101" s="35" t="s">
        <v>553</v>
      </c>
      <c r="B101" s="36" t="s">
        <v>59</v>
      </c>
      <c r="C101" s="37" t="s">
        <v>39</v>
      </c>
      <c r="D101" s="37" t="s">
        <v>339</v>
      </c>
      <c r="E101" s="38" t="s">
        <v>555</v>
      </c>
      <c r="F101" s="39" t="n">
        <f aca="false">COUNTIF('Open Deals'!$A$2:$A$130,A101)</f>
        <v>1</v>
      </c>
      <c r="G101" s="40" t="n">
        <f aca="false">SUMIF('Open Deals'!$A$2:$A$130,A101,'Open Deals'!$I$2:$I$130)</f>
        <v>7400</v>
      </c>
      <c r="H101" s="37" t="str">
        <f aca="false">INDEX(Settings!$A$11:$A$16,SUMPRODUCT(MAX((COUNTIFS('Open Deals'!$A$2:$A$130,A101,'Open Deals'!$F$2:$F$130,Settings!$A$11:$A$16)&gt;0)*Settings!$B$11:$B$16)))</f>
        <v>Understand Need/Problem</v>
      </c>
      <c r="I101" s="37" t="s">
        <v>16</v>
      </c>
      <c r="J101" s="37" t="s">
        <v>33</v>
      </c>
      <c r="K101" s="41" t="s">
        <v>338</v>
      </c>
    </row>
    <row r="102" customFormat="false" ht="15" hidden="false" customHeight="false" outlineLevel="0" collapsed="false">
      <c r="A102" s="35" t="s">
        <v>434</v>
      </c>
      <c r="B102" s="36" t="s">
        <v>59</v>
      </c>
      <c r="C102" s="37" t="s">
        <v>30</v>
      </c>
      <c r="D102" s="37" t="s">
        <v>437</v>
      </c>
      <c r="E102" s="38" t="s">
        <v>438</v>
      </c>
      <c r="F102" s="39" t="n">
        <f aca="false">COUNTIF('Open Deals'!$A$2:$A$130,A102)</f>
        <v>1</v>
      </c>
      <c r="G102" s="40" t="n">
        <f aca="false">SUMIF('Open Deals'!$A$2:$A$130,A102,'Open Deals'!$I$2:$I$130)</f>
        <v>6000</v>
      </c>
      <c r="H102" s="37" t="str">
        <f aca="false">INDEX(Settings!$A$11:$A$16,SUMPRODUCT(MAX((COUNTIFS('Open Deals'!$A$2:$A$130,A102,'Open Deals'!$F$2:$F$130,Settings!$A$11:$A$16)&gt;0)*Settings!$B$11:$B$16)))</f>
        <v>Create Proposal</v>
      </c>
      <c r="I102" s="37" t="s">
        <v>16</v>
      </c>
      <c r="J102" s="37" t="s">
        <v>31</v>
      </c>
      <c r="K102" s="41" t="s">
        <v>436</v>
      </c>
    </row>
    <row r="103" customFormat="false" ht="15" hidden="false" customHeight="false" outlineLevel="0" collapsed="false">
      <c r="A103" s="35" t="s">
        <v>439</v>
      </c>
      <c r="B103" s="36" t="s">
        <v>94</v>
      </c>
      <c r="C103" s="37" t="s">
        <v>36</v>
      </c>
      <c r="D103" s="37" t="s">
        <v>442</v>
      </c>
      <c r="E103" s="38" t="s">
        <v>443</v>
      </c>
      <c r="F103" s="39" t="n">
        <f aca="false">COUNTIF('Open Deals'!$A$2:$A$130,A103)</f>
        <v>1</v>
      </c>
      <c r="G103" s="40" t="n">
        <f aca="false">SUMIF('Open Deals'!$A$2:$A$130,A103,'Open Deals'!$I$2:$I$130)</f>
        <v>0</v>
      </c>
      <c r="H103" s="37" t="str">
        <f aca="false">INDEX(Settings!$A$11:$A$16,SUMPRODUCT(MAX((COUNTIFS('Open Deals'!$A$2:$A$130,A103,'Open Deals'!$F$2:$F$130,Settings!$A$11:$A$16)&gt;0)*Settings!$B$11:$B$16)))</f>
        <v>Create Proposal</v>
      </c>
      <c r="I103" s="37" t="s">
        <v>14</v>
      </c>
      <c r="J103" s="37" t="s">
        <v>71</v>
      </c>
      <c r="K103" s="41" t="s">
        <v>441</v>
      </c>
    </row>
    <row r="104" customFormat="false" ht="15" hidden="false" customHeight="false" outlineLevel="0" collapsed="false">
      <c r="A104" s="35" t="s">
        <v>444</v>
      </c>
      <c r="B104" s="36" t="s">
        <v>94</v>
      </c>
      <c r="C104" s="37" t="s">
        <v>43</v>
      </c>
      <c r="D104" s="37" t="s">
        <v>447</v>
      </c>
      <c r="E104" s="38" t="s">
        <v>448</v>
      </c>
      <c r="F104" s="39" t="n">
        <f aca="false">COUNTIF('Open Deals'!$A$2:$A$130,A104)</f>
        <v>1</v>
      </c>
      <c r="G104" s="40" t="n">
        <f aca="false">SUMIF('Open Deals'!$A$2:$A$130,A104,'Open Deals'!$I$2:$I$130)</f>
        <v>0</v>
      </c>
      <c r="H104" s="37" t="str">
        <f aca="false">INDEX(Settings!$A$11:$A$16,SUMPRODUCT(MAX((COUNTIFS('Open Deals'!$A$2:$A$130,A104,'Open Deals'!$F$2:$F$130,Settings!$A$11:$A$16)&gt;0)*Settings!$B$11:$B$16)))</f>
        <v>Create Proposal</v>
      </c>
      <c r="I104" s="37" t="s">
        <v>14</v>
      </c>
      <c r="J104" s="37" t="s">
        <v>71</v>
      </c>
      <c r="K104" s="41" t="s">
        <v>446</v>
      </c>
    </row>
    <row r="105" customFormat="false" ht="15" hidden="false" customHeight="false" outlineLevel="0" collapsed="false">
      <c r="A105" s="35" t="s">
        <v>557</v>
      </c>
      <c r="B105" s="36" t="s">
        <v>94</v>
      </c>
      <c r="C105" s="37" t="s">
        <v>28</v>
      </c>
      <c r="D105" s="37" t="s">
        <v>320</v>
      </c>
      <c r="E105" s="38" t="s">
        <v>560</v>
      </c>
      <c r="F105" s="39" t="n">
        <f aca="false">COUNTIF('Open Deals'!$A$2:$A$130,A105)</f>
        <v>1</v>
      </c>
      <c r="G105" s="40" t="n">
        <f aca="false">SUMIF('Open Deals'!$A$2:$A$130,A105,'Open Deals'!$I$2:$I$130)</f>
        <v>0</v>
      </c>
      <c r="H105" s="37" t="str">
        <f aca="false">INDEX(Settings!$A$11:$A$16,SUMPRODUCT(MAX((COUNTIFS('Open Deals'!$A$2:$A$130,A105,'Open Deals'!$F$2:$F$130,Settings!$A$11:$A$16)&gt;0)*Settings!$B$11:$B$16)))</f>
        <v>Understand Need/Problem</v>
      </c>
      <c r="I105" s="37" t="s">
        <v>14</v>
      </c>
      <c r="J105" s="37" t="s">
        <v>71</v>
      </c>
      <c r="K105" s="41" t="s">
        <v>559</v>
      </c>
    </row>
  </sheetData>
  <autoFilter ref="A1:K105"/>
  <conditionalFormatting sqref="H2:H105">
    <cfRule type="expression" priority="2" aboveAverage="0" equalAverage="0" bottom="0" percent="0" rank="0" text="" dxfId="11">
      <formula>$H2="Understand Need/Problem"</formula>
    </cfRule>
    <cfRule type="expression" priority="3" aboveAverage="0" equalAverage="0" bottom="0" percent="0" rank="0" text="" dxfId="12">
      <formula>$H2="Create Proposal"</formula>
    </cfRule>
    <cfRule type="expression" priority="4" aboveAverage="0" equalAverage="0" bottom="0" percent="0" rank="0" text="" dxfId="13">
      <formula>$H2="Present Proposal"</formula>
    </cfRule>
    <cfRule type="expression" priority="5" aboveAverage="0" equalAverage="0" bottom="0" percent="0" rank="0" text="" dxfId="14">
      <formula>$H2="Feedback"</formula>
    </cfRule>
    <cfRule type="expression" priority="6" aboveAverage="0" equalAverage="0" bottom="0" percent="0" rank="0" text="" dxfId="15">
      <formula>$H2="Negotiation"</formula>
    </cfRule>
    <cfRule type="expression" priority="7" aboveAverage="0" equalAverage="0" bottom="0" percent="0" rank="0" text="" dxfId="16">
      <formula>$H2="IO Sent Out"</formula>
    </cfRule>
  </conditionalFormatting>
  <conditionalFormatting sqref="B2:B105">
    <cfRule type="expression" priority="8" aboveAverage="0" equalAverage="0" bottom="0" percent="0" rank="0" text="" dxfId="17">
      <formula>$B2="New business"</formula>
    </cfRule>
    <cfRule type="expression" priority="9" aboveAverage="0" equalAverage="0" bottom="0" percent="0" rank="0" text="" dxfId="18">
      <formula>$B2="Existing client"</formula>
    </cfRule>
  </conditionalFormatting>
  <conditionalFormatting sqref="G2:G105">
    <cfRule type="dataBar" priority="10">
      <dataBar showValue="1" minLength="10" maxLength="90">
        <cfvo type="num" val="0"/>
        <cfvo type="max" val="0"/>
        <color rgb="FFEE4392"/>
      </dataBar>
      <extLst>
        <ext xmlns:x14="http://schemas.microsoft.com/office/spreadsheetml/2009/9/main" uri="{B025F937-C7B1-47D3-B67F-A62EFF666E3E}">
          <x14:id>{E6707876-30F3-4048-AE90-249062394AD7}</x14:id>
        </ext>
      </extLst>
    </cfRule>
  </conditionalFormatting>
  <hyperlinks>
    <hyperlink ref="E2" r:id="rId1" display="kia.com"/>
    <hyperlink ref="E3" r:id="rId2" display="runwayml.com"/>
    <hyperlink ref="E4" r:id="rId3" display="beautyofjoseon.com"/>
    <hyperlink ref="E5" r:id="rId4" display="amorepacific.com"/>
    <hyperlink ref="E6" r:id="rId5" display="royalcanin.com"/>
    <hyperlink ref="E7" r:id="rId6" display="webull-uk.com"/>
    <hyperlink ref="E8" r:id="rId7" display="oreateai.com"/>
    <hyperlink ref="E9" r:id="rId8" display="olymptrade.com"/>
    <hyperlink ref="E10" r:id="rId9" display="konufoods.com"/>
    <hyperlink ref="E11" r:id="rId10" display="zonevoice.com"/>
    <hyperlink ref="E12" r:id="rId11" display="comfortclick.co.uk"/>
    <hyperlink ref="E13" r:id="rId12" display="finom.co"/>
    <hyperlink ref="E14" r:id="rId13" display="ago.ca"/>
    <hyperlink ref="E15" r:id="rId14" display="dartscorner.co.uk"/>
    <hyperlink ref="E16" r:id="rId15" display="stellarisrobot.com"/>
    <hyperlink ref="E17" r:id="rId16" display="efginternational.com"/>
    <hyperlink ref="E18" r:id="rId17" display="macaly.com"/>
    <hyperlink ref="E19" r:id="rId18" display="nn-group.com"/>
    <hyperlink ref="E20" r:id="rId19" display="sparkli.ai"/>
    <hyperlink ref="E21" r:id="rId20" display="kedrion.com"/>
    <hyperlink ref="E22" r:id="rId21" display="milip.kr"/>
    <hyperlink ref="E23" r:id="rId22" display="vitrinclinic.com"/>
    <hyperlink ref="E24" r:id="rId23" display="ramseysolutions.com"/>
    <hyperlink ref="E25" r:id="rId24" display="ollies.us"/>
    <hyperlink ref="E26" r:id="rId25" display="verizon.com"/>
    <hyperlink ref="E27" r:id="rId26" display="glolabz.com"/>
    <hyperlink ref="E28" r:id="rId27" display="merakitech.com"/>
    <hyperlink ref="E29" r:id="rId28" display="byoma.com"/>
    <hyperlink ref="E31" r:id="rId29" display="opera.com"/>
    <hyperlink ref="E32" r:id="rId30" display="galderma.com"/>
    <hyperlink ref="E33" r:id="rId31" display="monogram.ai"/>
    <hyperlink ref="E34" r:id="rId32" display="bitelab.co.kr"/>
    <hyperlink ref="E35" r:id="rId33" display="ashleymadison.com"/>
    <hyperlink ref="E36" r:id="rId34" display="nealsyardremedies.com"/>
    <hyperlink ref="E37" r:id="rId35" display="davidlloyd.co.uk"/>
    <hyperlink ref="E38" r:id="rId36" display="samchic.co.kr"/>
    <hyperlink ref="E39" r:id="rId37" display="astrotalk.com"/>
    <hyperlink ref="E40" r:id="rId38" display="groupeseb.com"/>
    <hyperlink ref="E41" r:id="rId39" display="chillsim.net"/>
    <hyperlink ref="E42" r:id="rId40" display="mediheal.com"/>
    <hyperlink ref="E43" r:id="rId41" display="damm.com"/>
    <hyperlink ref="E44" r:id="rId42" display="drjart.com"/>
    <hyperlink ref="E45" r:id="rId43" display="team-sport.com"/>
    <hyperlink ref="E47" r:id="rId44" display="vioratest.com"/>
    <hyperlink ref="E48" r:id="rId45" display="studiomosaicapps.com"/>
    <hyperlink ref="E49" r:id="rId46" display="skylum.com"/>
    <hyperlink ref="E50" r:id="rId47" display="curias.io"/>
    <hyperlink ref="E51" r:id="rId48" display="medtrition.com"/>
    <hyperlink ref="E52" r:id="rId49" display="nnespana.es"/>
    <hyperlink ref="E54" r:id="rId50" display="iworldus.com"/>
    <hyperlink ref="E55" r:id="rId51" display="riviera-dazur.com"/>
    <hyperlink ref="E56" r:id="rId52" display="mbchicken.co.uk"/>
    <hyperlink ref="E57" r:id="rId53" display="i-ne.co.jp"/>
    <hyperlink ref="E58" r:id="rId54" display="kenvue.com"/>
    <hyperlink ref="E59" r:id="rId55" display="gopro.com"/>
    <hyperlink ref="E60" r:id="rId56" display="kioland.co.kr"/>
    <hyperlink ref="E61" r:id="rId57" display="thepicton.com"/>
    <hyperlink ref="E62" r:id="rId58" display="pg.com"/>
    <hyperlink ref="E63" r:id="rId59" display="avatrade.com"/>
    <hyperlink ref="E64" r:id="rId60" display="firerock.sg"/>
    <hyperlink ref="E65" r:id="rId61" display="norwegianlog.co.uk"/>
    <hyperlink ref="E67" r:id="rId62" display="fitnessfirst.com"/>
    <hyperlink ref="E68" r:id="rId63" display="111skin.com"/>
    <hyperlink ref="E69" r:id="rId64" display="paddywax.com"/>
    <hyperlink ref="E70" r:id="rId65" display="whitecapsfc.com"/>
    <hyperlink ref="E71" r:id="rId66" display="aviagames.com"/>
    <hyperlink ref="E72" r:id="rId67" display="tfit.co.kr"/>
    <hyperlink ref="E73" r:id="rId68" display="redweek.com"/>
    <hyperlink ref="E74" r:id="rId69" display="myntro.com"/>
    <hyperlink ref="E75" r:id="rId70" display="trip.com"/>
    <hyperlink ref="E76" r:id="rId71" display="aldermore.co.uk"/>
    <hyperlink ref="E77" r:id="rId72" display="bnckorea.co.kr"/>
    <hyperlink ref="E78" r:id="rId73" display="pacsen.net"/>
    <hyperlink ref="E79" r:id="rId74" display="cornbreadhemp.com"/>
    <hyperlink ref="E80" r:id="rId75" display="wednesdaywaffles.com"/>
    <hyperlink ref="E81" r:id="rId76" display="kotra.or.kr"/>
    <hyperlink ref="E82" r:id="rId77" display="merrell.com"/>
    <hyperlink ref="E83" r:id="rId78" display="starcobrands.com"/>
    <hyperlink ref="E84" r:id="rId79" display="bcfc.com"/>
    <hyperlink ref="E85" r:id="rId80" display="gsma.com"/>
    <hyperlink ref="E86" r:id="rId81" display="loreal.com"/>
    <hyperlink ref="E87" r:id="rId82" display="entermaya.com"/>
    <hyperlink ref="E88" r:id="rId83" display="olymptrade.com"/>
    <hyperlink ref="E89" r:id="rId84" display="scrubdaddy.eu"/>
    <hyperlink ref="E90" r:id="rId85" display="cosrx.com"/>
    <hyperlink ref="E91" r:id="rId86" display="grupobimbo.com"/>
    <hyperlink ref="E92" r:id="rId87" display="atlascapture.io"/>
    <hyperlink ref="E93" r:id="rId88" display="sweatcheck.fit"/>
    <hyperlink ref="E94" r:id="rId89" display="wati.io"/>
    <hyperlink ref="E95" r:id="rId90" display="cetaphil.com"/>
    <hyperlink ref="E96" r:id="rId91" display="mtch.com"/>
    <hyperlink ref="E97" r:id="rId92" display="isehan.co.jp"/>
    <hyperlink ref="E98" r:id="rId93" display="expediagroup.com"/>
    <hyperlink ref="E99" r:id="rId94" display="heytea.com"/>
    <hyperlink ref="E100" r:id="rId95" display="happn.com"/>
    <hyperlink ref="E101" r:id="rId96" display="fatbastardburrito.ca"/>
    <hyperlink ref="E102" r:id="rId97" display="vinted.com"/>
    <hyperlink ref="E103" r:id="rId98" display="nva.com"/>
    <hyperlink ref="E104" r:id="rId99" display="hapimag.com"/>
    <hyperlink ref="E105" r:id="rId100" display="twopoles.c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0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707876-30F3-4048-AE90-249062394AD7}">
            <x14:dataBar minLength="10" maxLength="90" axisPosition="none" gradient="true">
              <x14:cfvo type="num">
                <xm:f>0</xm:f>
              </x14:cfvo>
              <x14:cfvo type="max"/>
              <x14:negativeFillColor rgb="FFEE4392"/>
              <x14:axisColor rgb="FF000000"/>
            </x14:dataBar>
          </x14:cfRule>
          <xm:sqref>G2:G105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9.7" hidden="false" customHeight="false" outlineLevel="0" collapsed="false">
      <c r="A1" s="43" t="s">
        <v>567</v>
      </c>
    </row>
    <row r="3" customFormat="false" ht="15" hidden="false" customHeight="false" outlineLevel="0" collapsed="false">
      <c r="A3" s="0" t="s">
        <v>568</v>
      </c>
      <c r="B3" s="44" t="n">
        <v>46282</v>
      </c>
    </row>
    <row r="5" customFormat="false" ht="30" hidden="false" customHeight="true" outlineLevel="0" collapsed="false">
      <c r="A5" s="12" t="s">
        <v>49</v>
      </c>
      <c r="B5" s="12" t="s">
        <v>569</v>
      </c>
    </row>
    <row r="6" customFormat="false" ht="15" hidden="false" customHeight="false" outlineLevel="0" collapsed="false">
      <c r="A6" s="0" t="s">
        <v>77</v>
      </c>
      <c r="B6" s="45" t="n">
        <v>1</v>
      </c>
    </row>
    <row r="7" customFormat="false" ht="15" hidden="false" customHeight="false" outlineLevel="0" collapsed="false">
      <c r="A7" s="0" t="s">
        <v>60</v>
      </c>
      <c r="B7" s="45" t="n">
        <v>0.74</v>
      </c>
    </row>
    <row r="8" customFormat="false" ht="15" hidden="false" customHeight="false" outlineLevel="0" collapsed="false">
      <c r="A8" s="0" t="s">
        <v>84</v>
      </c>
      <c r="B8" s="45" t="n">
        <v>0.85</v>
      </c>
    </row>
    <row r="10" customFormat="false" ht="30" hidden="false" customHeight="true" outlineLevel="0" collapsed="false">
      <c r="A10" s="12" t="s">
        <v>7</v>
      </c>
      <c r="B10" s="12" t="s">
        <v>570</v>
      </c>
      <c r="C10" s="12" t="s">
        <v>50</v>
      </c>
    </row>
    <row r="11" customFormat="false" ht="15" hidden="false" customHeight="false" outlineLevel="0" collapsed="false">
      <c r="A11" s="0" t="s">
        <v>13</v>
      </c>
      <c r="B11" s="0" t="n">
        <v>1</v>
      </c>
      <c r="C11" s="46" t="n">
        <v>0.45</v>
      </c>
    </row>
    <row r="12" customFormat="false" ht="15" hidden="false" customHeight="false" outlineLevel="0" collapsed="false">
      <c r="A12" s="0" t="s">
        <v>15</v>
      </c>
      <c r="B12" s="0" t="n">
        <v>2</v>
      </c>
      <c r="C12" s="46" t="n">
        <v>0.5</v>
      </c>
    </row>
    <row r="13" customFormat="false" ht="15" hidden="false" customHeight="false" outlineLevel="0" collapsed="false">
      <c r="A13" s="0" t="s">
        <v>17</v>
      </c>
      <c r="B13" s="0" t="n">
        <v>3</v>
      </c>
      <c r="C13" s="46" t="n">
        <v>0.55</v>
      </c>
    </row>
    <row r="14" customFormat="false" ht="15" hidden="false" customHeight="false" outlineLevel="0" collapsed="false">
      <c r="A14" s="0" t="s">
        <v>19</v>
      </c>
      <c r="B14" s="0" t="n">
        <v>4</v>
      </c>
      <c r="C14" s="46" t="n">
        <v>0.6</v>
      </c>
    </row>
    <row r="15" customFormat="false" ht="15" hidden="false" customHeight="false" outlineLevel="0" collapsed="false">
      <c r="A15" s="0" t="s">
        <v>21</v>
      </c>
      <c r="B15" s="0" t="n">
        <v>5</v>
      </c>
      <c r="C15" s="46" t="n">
        <v>0.75</v>
      </c>
    </row>
    <row r="16" customFormat="false" ht="15" hidden="false" customHeight="false" outlineLevel="0" collapsed="false">
      <c r="A16" s="0" t="s">
        <v>22</v>
      </c>
      <c r="B16" s="0" t="n">
        <v>6</v>
      </c>
      <c r="C16" s="46" t="n">
        <v>0.85</v>
      </c>
    </row>
    <row r="18" customFormat="false" ht="15" hidden="false" customHeight="false" outlineLevel="0" collapsed="false">
      <c r="A18" s="47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2026-09-17T11:55:50Z</dcterms:created>
  <dc:creator>openpyxl</dc:creator>
  <dc:description/>
  <dc:language>en-US</dc:language>
  <cp:lastModifiedBy/>
  <dcterms:modified xsi:type="dcterms:W3CDTF">2026-09-17T13:55:53Z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